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961073b93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d4764d39054940"/>
    <x:sheet xmlns:r="http://schemas.openxmlformats.org/officeDocument/2006/relationships" name="Consolidated Test Cases" sheetId="2" r:id="R2c55b621c472405c"/>
    <x:sheet xmlns:r="http://schemas.openxmlformats.org/officeDocument/2006/relationships" name="UI Functional Source" sheetId="3" r:id="R49b73261588c4a08"/>
    <x:sheet xmlns:r="http://schemas.openxmlformats.org/officeDocument/2006/relationships" name="UX Source" sheetId="4" r:id="Rc9830e09fe674f45"/>
    <x:sheet xmlns:r="http://schemas.openxmlformats.org/officeDocument/2006/relationships" name="Bug Reports" sheetId="5" r:id="R4972d8fd5ecc48a4"/>
    <x:sheet xmlns:r="http://schemas.openxmlformats.org/officeDocument/2006/relationships" name="Environment" sheetId="6" r:id="Rb4bec73f7b86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  <x:dxfs count="11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1d88667c942e6" /><Relationship Type="http://schemas.openxmlformats.org/officeDocument/2006/relationships/theme" Target="/xl/theme/theme1.xml" Id="R6a7d90bf6ec944f8" /><Relationship Type="http://schemas.openxmlformats.org/officeDocument/2006/relationships/sharedStrings" Target="/xl/sharedStrings.xml" Id="R88be363b1c8445e7" /><Relationship Type="http://schemas.openxmlformats.org/officeDocument/2006/relationships/worksheet" Target="/xl/worksheets/sheet1.xml" Id="R9fd4764d39054940" /><Relationship Type="http://schemas.openxmlformats.org/officeDocument/2006/relationships/worksheet" Target="/xl/worksheets/sheet2.xml" Id="R2c55b621c472405c" /><Relationship Type="http://schemas.openxmlformats.org/officeDocument/2006/relationships/worksheet" Target="/xl/worksheets/sheet3.xml" Id="R49b73261588c4a08" /><Relationship Type="http://schemas.openxmlformats.org/officeDocument/2006/relationships/worksheet" Target="/xl/worksheets/sheet4.xml" Id="Rc9830e09fe674f45" /><Relationship Type="http://schemas.openxmlformats.org/officeDocument/2006/relationships/worksheet" Target="/xl/worksheets/sheet5.xml" Id="R4972d8fd5ecc48a4" /><Relationship Type="http://schemas.openxmlformats.org/officeDocument/2006/relationships/worksheet" Target="/xl/worksheets/sheet6.xml" Id="Rb4bec73f7b864f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6aaa58451946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Consolidated execution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'Summary'!$D$6:$D$8</c:f>
              <c:strCache>
                <c:ptCount val="0"/>
              </c:strCache>
            </c:strRef>
          </c:cat>
          <c:val>
            <c:numRef>
              <c:f>'Summary'!$E$6:$E$8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11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6aaa58451946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solidatedCasesTable" displayName="ConsolidatedCasesTable" ref="A1:I42" headerRowCount="1">
  <x:tableColumns count="9">
    <x:tableColumn id="1" name="ID"/>
    <x:tableColumn id="2" name="Type"/>
    <x:tableColumn id="3" name="Scenario"/>
    <x:tableColumn id="4" name="Module"/>
    <x:tableColumn id="5" name="Source IDs"/>
    <x:tableColumn id="6" name="Expected Result"/>
    <x:tableColumn id="7" name="Status"/>
    <x:tableColumn id="8" name="Bug ID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UISourceCasesTable" displayName="UISourceCasesTable" ref="A1:M64" headerRowCount="1">
  <x:tableColumns count="13">
    <x:tableColumn id="1" name="Source ID"/>
    <x:tableColumn id="2" name="Type"/>
    <x:tableColumn id="3" name="Title"/>
    <x:tableColumn id="4" name="Module"/>
    <x:tableColumn id="5" name="Priority"/>
    <x:tableColumn id="6" name="Preconditions"/>
    <x:tableColumn id="7" name="Test Data"/>
    <x:tableColumn id="8" name="Steps"/>
    <x:tableColumn id="9" name="Expected Result"/>
    <x:tableColumn id="10" name="Actual Result"/>
    <x:tableColumn id="11" name="Status"/>
    <x:tableColumn id="12" name="Bug ID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UXSourceCasesTable" displayName="UXSourceCasesTable" ref="A1:N13" headerRowCount="1">
  <x:tableColumns count="14">
    <x:tableColumn id="1" name="Source ID"/>
    <x:tableColumn id="2" name="Title"/>
    <x:tableColumn id="3" name="Requirement"/>
    <x:tableColumn id="4" name="Preconditions"/>
    <x:tableColumn id="5" name="Steps"/>
    <x:tableColumn id="6" name="Expected Result"/>
    <x:tableColumn id="7" name="Actual Result"/>
    <x:tableColumn id="8" name="Status"/>
    <x:tableColumn id="9" name="Bug ID"/>
    <x:tableColumn id="10" name="Severity"/>
    <x:tableColumn id="11" name="Priority"/>
    <x:tableColumn id="12" name="Type"/>
    <x:tableColumn id="13" name="Environment"/>
    <x:tableColumn id="1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ugReportsTable" displayName="BugReportsTable" ref="A1:M8" headerRowCount="1">
  <x:tableColumns count="13">
    <x:tableColumn id="1" name="Bug ID"/>
    <x:tableColumn id="2" name="Title"/>
    <x:tableColumn id="3" name="Module"/>
    <x:tableColumn id="4" name="Environment"/>
    <x:tableColumn id="5" name="Preconditions"/>
    <x:tableColumn id="6" name="Steps"/>
    <x:tableColumn id="7" name="Expected Result"/>
    <x:tableColumn id="8" name="Actual Result"/>
    <x:tableColumn id="9" name="Severity"/>
    <x:tableColumn id="10" name="Priority"/>
    <x:tableColumn id="11" name="Type"/>
    <x:tableColumn id="12" name="Status"/>
    <x:tableColumn id="13" name="Source Bug ID"/>
  </x:tableColumns>
  <x:tableStyleInfo name="TableStyleMedium2" showRowStripes="1"/>
</x:table>
</file>

<file path=xl/tables/table5.xml><?xml version="1.0" encoding="utf-8"?>
<x:table xmlns:x="http://schemas.openxmlformats.org/spreadsheetml/2006/main" id="5" name="EnvironmentTable" displayName="EnvironmentTable" ref="A1:G3" headerRowCount="1">
  <x:tableColumns count="7">
    <x:tableColumn id="1" name="Environment ID"/>
    <x:tableColumn id="2" name="Platform"/>
    <x:tableColumn id="3" name="Device / Emulator"/>
    <x:tableColumn id="4" name="OS / API"/>
    <x:tableColumn id="5" name="Build"/>
    <x:tableColumn id="6" name="Scope"/>
    <x:tableColumn id="7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7a7e66f24042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d7051ecc5e4d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058cf93efa42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2c46c1ee264f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5967f8e3fa40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98698a37c6428c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46" t="str">
        <x:v>Skillcinema Mobile Application Testing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  <x:c r="K2" s="46"/>
    </x:row>
    <x:row r="3">
      <x:c r="A3" s="47" t="str">
        <x:v>Consolidated public portfolio report based on two source workbooks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</x:row>
    <x:row r="5">
      <x:c r="A5" s="20" t="str">
        <x:v>Metric</x:v>
      </x:c>
      <x:c r="B5" s="20" t="str">
        <x:v>Value</x:v>
      </x:c>
      <x:c r="C5" s="42"/>
      <x:c r="D5" s="20" t="str">
        <x:v>Consolidated status</x:v>
      </x:c>
      <x:c r="E5" s="20" t="str">
        <x:v>Count</x:v>
      </x:c>
      <x:c r="F5" s="42"/>
      <x:c r="G5" s="42"/>
      <x:c r="H5" s="42"/>
      <x:c r="I5" s="42"/>
      <x:c r="J5" s="42"/>
      <x:c r="K5" s="42"/>
    </x:row>
    <x:row r="6">
      <x:c r="A6" s="48" t="str">
        <x:v>Raw UI / Functional cases</x:v>
      </x:c>
      <x:c r="B6" s="49" t="n">
        <x:f>COUNTA('UI Functional Source'!A2:A64)</x:f>
        <x:v>63</x:v>
      </x:c>
      <x:c r="C6" s="42"/>
      <x:c r="D6" s="48" t="str">
        <x:v>Passed</x:v>
      </x:c>
      <x:c r="E6" s="49" t="n">
        <x:f>COUNTIF('Consolidated Test Cases'!G2:G42,"Passed")</x:f>
        <x:v>34</x:v>
      </x:c>
      <x:c r="F6" s="42"/>
      <x:c r="G6" s="42"/>
      <x:c r="H6" s="42"/>
      <x:c r="I6" s="42"/>
      <x:c r="J6" s="42"/>
      <x:c r="K6" s="42"/>
    </x:row>
    <x:row r="7">
      <x:c r="A7" s="50" t="str">
        <x:v>Raw UX cases</x:v>
      </x:c>
      <x:c r="B7" s="51" t="n">
        <x:f>COUNTA('UX Source'!A2:A13)</x:f>
        <x:v>12</x:v>
      </x:c>
      <x:c r="C7" s="42"/>
      <x:c r="D7" s="50" t="str">
        <x:v>Failed</x:v>
      </x:c>
      <x:c r="E7" s="51" t="n">
        <x:f>COUNTIF('Consolidated Test Cases'!G2:G42,"Failed")</x:f>
        <x:v>6</x:v>
      </x:c>
      <x:c r="F7" s="42"/>
      <x:c r="G7" s="42"/>
      <x:c r="H7" s="42"/>
      <x:c r="I7" s="42"/>
      <x:c r="J7" s="42"/>
      <x:c r="K7" s="42"/>
    </x:row>
    <x:row r="8">
      <x:c r="A8" s="50" t="str">
        <x:v>Consolidated unique scenarios</x:v>
      </x:c>
      <x:c r="B8" s="51" t="n">
        <x:f>COUNTA('Consolidated Test Cases'!A2:A42)</x:f>
        <x:v>41</x:v>
      </x:c>
      <x:c r="C8" s="42"/>
      <x:c r="D8" s="52" t="str">
        <x:v>Needs clarification</x:v>
      </x:c>
      <x:c r="E8" s="53" t="n">
        <x:f>COUNTIF('Consolidated Test Cases'!G2:G42,"Needs clarification")</x:f>
        <x:v>1</x:v>
      </x:c>
      <x:c r="F8" s="42"/>
      <x:c r="G8" s="42"/>
      <x:c r="H8" s="42"/>
      <x:c r="I8" s="42"/>
      <x:c r="J8" s="42"/>
      <x:c r="K8" s="42"/>
    </x:row>
    <x:row r="9">
      <x:c r="A9" s="50" t="str">
        <x:v>Passed</x:v>
      </x:c>
      <x:c r="B9" s="51" t="n">
        <x:f>COUNTIF('Consolidated Test Cases'!G2:G42,"Passed")</x:f>
        <x:v>34</x:v>
      </x:c>
      <x:c r="C9" s="42"/>
      <x:c r="D9" s="42"/>
      <x:c r="E9" s="42"/>
      <x:c r="F9" s="42"/>
      <x:c r="G9" s="42"/>
      <x:c r="H9" s="42"/>
      <x:c r="I9" s="42"/>
      <x:c r="J9" s="42"/>
      <x:c r="K9" s="42"/>
    </x:row>
    <x:row r="10">
      <x:c r="A10" s="50" t="str">
        <x:v>Failed</x:v>
      </x:c>
      <x:c r="B10" s="51" t="n">
        <x:f>COUNTIF('Consolidated Test Cases'!G2:G42,"Failed")</x:f>
        <x:v>6</x:v>
      </x:c>
      <x:c r="C10" s="42"/>
      <x:c r="D10" s="42"/>
      <x:c r="E10" s="42"/>
      <x:c r="F10" s="42"/>
      <x:c r="G10" s="42"/>
      <x:c r="H10" s="42"/>
      <x:c r="I10" s="42"/>
      <x:c r="J10" s="42"/>
      <x:c r="K10" s="42"/>
    </x:row>
    <x:row r="11">
      <x:c r="A11" s="50" t="str">
        <x:v>Needs clarification</x:v>
      </x:c>
      <x:c r="B11" s="51" t="n">
        <x:f>COUNTIF('Consolidated Test Cases'!G2:G42,"Needs clarification")</x:f>
        <x:v>1</x:v>
      </x:c>
      <x:c r="C11" s="42"/>
      <x:c r="D11" s="42"/>
      <x:c r="E11" s="42"/>
      <x:c r="F11" s="42"/>
      <x:c r="G11" s="42"/>
      <x:c r="H11" s="42"/>
      <x:c r="I11" s="42"/>
      <x:c r="J11" s="42"/>
      <x:c r="K11" s="42"/>
    </x:row>
    <x:row r="12">
      <x:c r="A12" s="52" t="str">
        <x:v>Documented defects</x:v>
      </x:c>
      <x:c r="B12" s="53" t="n">
        <x:f>COUNTA('Bug Reports'!A2:A8)</x:f>
        <x:v>7</x:v>
      </x:c>
      <x:c r="C12" s="42"/>
      <x:c r="D12" s="42"/>
      <x:c r="E12" s="42"/>
      <x:c r="F12" s="42"/>
      <x:c r="G12" s="42"/>
      <x:c r="H12" s="42"/>
      <x:c r="I12" s="42"/>
      <x:c r="J12" s="42"/>
      <x:c r="K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</x:row>
    <x:row r="14">
      <x:c r="A14" s="54" t="str">
        <x:v>Scope</x:v>
      </x:c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</x:row>
    <x:row r="15">
      <x:c r="A15" s="44" t="str">
        <x:v>Coverage</x:v>
      </x:c>
      <x:c r="B15" s="42" t="str">
        <x:v>Onboarding, Home, Movie details, Search, Filters, Profile, Network handling, Performance, UI/UX</x:v>
      </x:c>
      <x:c r="C15" s="42" t="str"/>
      <x:c r="D15" s="42" t="str"/>
      <x:c r="E15" s="42" t="str"/>
      <x:c r="F15" s="42" t="str"/>
      <x:c r="G15" s="42" t="str"/>
      <x:c r="H15" s="42" t="str"/>
      <x:c r="I15" s="42" t="str"/>
      <x:c r="J15" s="42" t="str"/>
      <x:c r="K15" s="42" t="str"/>
    </x:row>
    <x:row r="16">
      <x:c r="A16" s="44" t="str">
        <x:v>Techniques</x:v>
      </x:c>
      <x:c r="B16" s="42" t="str">
        <x:v>Positive, negative, functional, UI, UX, performance and integration-oriented checks</x:v>
      </x:c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/>
    </x:row>
    <x:row r="17">
      <x:c r="A17" s="44" t="str">
        <x:v>Tools</x:v>
      </x:c>
      <x:c r="B17" s="42" t="str">
        <x:v>Android Studio Emulator, Network Inspector, manual test documentation, design comparison</x:v>
      </x:c>
      <x:c r="C17" s="42" t="str"/>
      <x:c r="D17" s="42" t="str"/>
      <x:c r="E17" s="42" t="str"/>
      <x:c r="F17" s="42" t="str"/>
      <x:c r="G17" s="42" t="str"/>
      <x:c r="H17" s="42" t="str"/>
      <x:c r="I17" s="42" t="str"/>
      <x:c r="J17" s="42" t="str"/>
      <x:c r="K17" s="42" t="str"/>
    </x:row>
    <x:row r="18">
      <x:c r="A18" s="44" t="str">
        <x:v>Primary artifacts</x:v>
      </x:c>
      <x:c r="B18" s="42" t="str">
        <x:v>41 consolidated scenarios, 75 source cases, 7 structured defects, 2 documented environments</x:v>
      </x:c>
      <x:c r="C18" s="42" t="str"/>
      <x:c r="D18" s="42" t="str"/>
      <x:c r="E18" s="42" t="str"/>
      <x:c r="F18" s="42" t="str"/>
      <x:c r="G18" s="42" t="str"/>
      <x:c r="H18" s="42" t="str"/>
      <x:c r="I18" s="42" t="str"/>
      <x:c r="J18" s="42" t="str"/>
      <x:c r="K18" s="42" t="str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</x:row>
    <x:row r="20">
      <x:c r="A20" s="54" t="str">
        <x:v>Data quality and portfolio notes</x:v>
      </x:c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</x:row>
    <x:row r="21">
      <x:c r="A21" s="42" t="str">
        <x:v>• Repeated source scenarios were consolidated; original IDs remain available for traceability.</x:v>
      </x:c>
      <x:c r="B21" s="42" t="str"/>
      <x:c r="C21" s="42" t="str"/>
      <x:c r="D21" s="42" t="str"/>
      <x:c r="E21" s="42" t="str"/>
      <x:c r="F21" s="42" t="str"/>
      <x:c r="G21" s="42" t="str"/>
      <x:c r="H21" s="42" t="str"/>
      <x:c r="I21" s="42" t="str"/>
      <x:c r="J21" s="42" t="str"/>
      <x:c r="K21" s="42" t="str"/>
    </x:row>
    <x:row r="22">
      <x:c r="A22" s="42" t="str">
        <x:v>• Onboarding results conflict across source rows. The consolidated status is Needs clarification until the exact build and execution run are confirmed.</x:v>
      </x:c>
      <x:c r="B22" s="42" t="str"/>
      <x:c r="C22" s="42" t="str"/>
      <x:c r="D22" s="42" t="str"/>
      <x:c r="E22" s="42" t="str"/>
      <x:c r="F22" s="42" t="str"/>
      <x:c r="G22" s="42" t="str"/>
      <x:c r="H22" s="42" t="str"/>
      <x:c r="I22" s="42" t="str"/>
      <x:c r="J22" s="42" t="str"/>
      <x:c r="K22" s="42" t="str"/>
    </x:row>
    <x:row r="23">
      <x:c r="A23" s="42" t="str">
        <x:v>• The public copy removes the external APK download link and does not contain credentials or confidential company data.</x:v>
      </x:c>
      <x:c r="B23" s="42" t="str"/>
      <x:c r="C23" s="42" t="str"/>
      <x:c r="D23" s="42" t="str"/>
      <x:c r="E23" s="42" t="str"/>
      <x:c r="F23" s="42" t="str"/>
      <x:c r="G23" s="42" t="str"/>
      <x:c r="H23" s="42" t="str"/>
      <x:c r="I23" s="42" t="str"/>
      <x:c r="J23" s="42" t="str"/>
      <x:c r="K23" s="42" t="str"/>
    </x:row>
    <x:row r="24">
      <x:c r="A24" s="42" t="str">
        <x:v>• Source sheets preserve the original scenario intent while formatting, priorities, steps and bug links are normalized.</x:v>
      </x:c>
      <x:c r="B24" s="42" t="str"/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</x:row>
  </x:sheetData>
  <x:mergeCells>
    <x:mergeCell ref="A1:K2"/>
    <x:mergeCell ref="A3:K3"/>
    <x:mergeCell ref="A14:K14"/>
    <x:mergeCell ref="B15:K15"/>
    <x:mergeCell ref="B16:K16"/>
    <x:mergeCell ref="B17:K17"/>
    <x:mergeCell ref="B18:K18"/>
    <x:mergeCell ref="A20:K20"/>
    <x:mergeCell ref="A21:K21"/>
    <x:mergeCell ref="A22:K22"/>
    <x:mergeCell ref="A23:K23"/>
    <x:mergeCell ref="A24:K24"/>
  </x:mergeCells>
  <x:pageMargins left="0.7" right="0.7" top="0.75" bottom="0.75" header="0.3" footer="0.3"/>
  <x:drawing xmlns:r="http://schemas.openxmlformats.org/officeDocument/2006/relationships" r:id="Rd47a7e66f24042aa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20" hidden="0" customWidth="1"/>
    <x:col min="5" max="5" width="42" hidden="0" customWidth="1"/>
    <x:col min="6" max="6" width="42" hidden="0" customWidth="1"/>
    <x:col min="7" max="7" width="20" hidden="0" customWidth="1"/>
    <x:col min="8" max="8" width="14" hidden="0" customWidth="1"/>
    <x:col min="9" max="9" width="42" hidden="0" customWidth="1"/>
  </x:cols>
  <x:sheetData>
    <x:row r="1">
      <x:c r="A1" s="64" t="str">
        <x:v>ID</x:v>
      </x:c>
      <x:c r="B1" s="65" t="str">
        <x:v>Type</x:v>
      </x:c>
      <x:c r="C1" s="65" t="str">
        <x:v>Scenario</x:v>
      </x:c>
      <x:c r="D1" s="65" t="str">
        <x:v>Module</x:v>
      </x:c>
      <x:c r="E1" s="65" t="str">
        <x:v>Source IDs</x:v>
      </x:c>
      <x:c r="F1" s="65" t="str">
        <x:v>Expected Result</x:v>
      </x:c>
      <x:c r="G1" s="65" t="str">
        <x:v>Status</x:v>
      </x:c>
      <x:c r="H1" s="65" t="str">
        <x:v>Bug ID</x:v>
      </x:c>
      <x:c r="I1" s="66" t="str">
        <x:v>Notes</x:v>
      </x:c>
    </x:row>
    <x:row r="2">
      <x:c r="A2" s="50" t="str">
        <x:v>SK-TC-001</x:v>
      </x:c>
      <x:c r="B2" s="42" t="str">
        <x:v>UI</x:v>
      </x:c>
      <x:c r="C2" s="42" t="str">
        <x:v>Application launch and splash screen</x:v>
      </x:c>
      <x:c r="D2" s="42" t="str">
        <x:v>Launch</x:v>
      </x:c>
      <x:c r="E2" s="42" t="str">
        <x:v>TC-UI-001, TC-UI-012</x:v>
      </x:c>
      <x:c r="F2" s="42" t="str">
        <x:v>Отображается splash-экран с логотипом приложения; нет графических артефактов; через несколько секунд происходит автоматический переход на главный экран</x:v>
      </x:c>
      <x:c r="G2" s="42" t="str">
        <x:v>Passed</x:v>
      </x:c>
      <x:c r="H2" s="42" t="str"/>
      <x:c r="I2" s="51" t="str"/>
    </x:row>
    <x:row r="3">
      <x:c r="A3" s="50" t="str">
        <x:v>SK-TC-002</x:v>
      </x:c>
      <x:c r="B3" s="42" t="str">
        <x:v>UI</x:v>
      </x:c>
      <x:c r="C3" s="42" t="str">
        <x:v>Main screen loads correctly</x:v>
      </x:c>
      <x:c r="D3" s="42" t="str">
        <x:v>Home</x:v>
      </x:c>
      <x:c r="E3" s="42" t="str">
        <x:v>TC-UI-002, TC-UI-027, TC-UI-045</x:v>
      </x:c>
      <x:c r="F3" s="42" t="str">
        <x:v>Отображается вкладка Главная; присутствуют подборки фильмов; loader отображается во время загрузки и исчезает после получения данных</x:v>
      </x:c>
      <x:c r="G3" s="42" t="str">
        <x:v>Passed</x:v>
      </x:c>
      <x:c r="H3" s="42" t="str"/>
      <x:c r="I3" s="51" t="str"/>
    </x:row>
    <x:row r="4">
      <x:c r="A4" s="50" t="str">
        <x:v>SK-TC-003</x:v>
      </x:c>
      <x:c r="B4" s="42" t="str">
        <x:v>UI</x:v>
      </x:c>
      <x:c r="C4" s="42" t="str">
        <x:v>Movie lists scroll smoothly</x:v>
      </x:c>
      <x:c r="D4" s="42" t="str">
        <x:v>Home</x:v>
      </x:c>
      <x:c r="E4" s="42" t="str">
        <x:v>TC-UI-003, TC-UI-017</x:v>
      </x:c>
      <x:c r="F4" s="42" t="str">
        <x:v>Список прокручивается плавно; подгружается дополнительный контент; отсутствуют зависания и визуальные дефекты</x:v>
      </x:c>
      <x:c r="G4" s="42" t="str">
        <x:v>Passed</x:v>
      </x:c>
      <x:c r="H4" s="42" t="str"/>
      <x:c r="I4" s="51" t="str"/>
    </x:row>
    <x:row r="5">
      <x:c r="A5" s="50" t="str">
        <x:v>SK-TC-004</x:v>
      </x:c>
      <x:c r="B5" s="42" t="str">
        <x:v>Functional</x:v>
      </x:c>
      <x:c r="C5" s="42" t="str">
        <x:v>Open a movie card from the home screen</x:v>
      </x:c>
      <x:c r="D5" s="42" t="str">
        <x:v>Navigation</x:v>
      </x:c>
      <x:c r="E5" s="42" t="str">
        <x:v>TC-UI-004, TC-UI-013, TC-UI-029, TC-UI-049, TC_UX_002</x:v>
      </x:c>
      <x:c r="F5" s="42" t="str">
        <x:v>Открывается экран фильма; отображаются постер, название, рейтинг и описание выбранного фильма</x:v>
      </x:c>
      <x:c r="G5" s="42" t="str">
        <x:v>Passed</x:v>
      </x:c>
      <x:c r="H5" s="42" t="str"/>
      <x:c r="I5" s="51" t="str"/>
    </x:row>
    <x:row r="6">
      <x:c r="A6" s="50" t="str">
        <x:v>SK-TC-005</x:v>
      </x:c>
      <x:c r="B6" s="42" t="str">
        <x:v>Functional</x:v>
      </x:c>
      <x:c r="C6" s="42" t="str">
        <x:v>Return to the previous screen</x:v>
      </x:c>
      <x:c r="D6" s="42" t="str">
        <x:v>Navigation</x:v>
      </x:c>
      <x:c r="E6" s="42" t="str">
        <x:v>TC-UI-005, TC-UI-014</x:v>
      </x:c>
      <x:c r="F6" s="42" t="str">
        <x:v>Происходит возврат на главный экран; список фильмов отображается; позиция скролла сохраняется</x:v>
      </x:c>
      <x:c r="G6" s="42" t="str">
        <x:v>Passed</x:v>
      </x:c>
      <x:c r="H6" s="42" t="str"/>
      <x:c r="I6" s="51" t="str"/>
    </x:row>
    <x:row r="7">
      <x:c r="A7" s="50" t="str">
        <x:v>SK-TC-006</x:v>
      </x:c>
      <x:c r="B7" s="42" t="str">
        <x:v>Functional</x:v>
      </x:c>
      <x:c r="C7" s="42" t="str">
        <x:v>Search automatically by entered title</x:v>
      </x:c>
      <x:c r="D7" s="42" t="str">
        <x:v>Search</x:v>
      </x:c>
      <x:c r="E7" s="42" t="str">
        <x:v>TC-UI-006, TC-UI-015, TC-UI-036, TC-UI-057, TC_UX_008</x:v>
      </x:c>
      <x:c r="F7" s="42" t="str">
        <x:v>Результаты появляются автоматически; отображаются карточки фильмов с постерами и названиями</x:v>
      </x:c>
      <x:c r="G7" s="42" t="str">
        <x:v>Passed</x:v>
      </x:c>
      <x:c r="H7" s="42" t="str"/>
      <x:c r="I7" s="51" t="str"/>
    </x:row>
    <x:row r="8">
      <x:c r="A8" s="50" t="str">
        <x:v>SK-TC-007</x:v>
      </x:c>
      <x:c r="B8" s="42" t="str">
        <x:v>Negative</x:v>
      </x:c>
      <x:c r="C8" s="42" t="str">
        <x:v>Display an empty search result</x:v>
      </x:c>
      <x:c r="D8" s="42" t="str">
        <x:v>Search</x:v>
      </x:c>
      <x:c r="E8" s="42" t="str">
        <x:v>TC-UI-007, TC-UI-016, TC-UI-038, TC-UI-058</x:v>
      </x:c>
      <x:c r="F8" s="42" t="str">
        <x:v>Отображается текст об отсутствии результатов поиска</x:v>
      </x:c>
      <x:c r="G8" s="42" t="str">
        <x:v>Passed</x:v>
      </x:c>
      <x:c r="H8" s="42" t="str"/>
      <x:c r="I8" s="51" t="str"/>
    </x:row>
    <x:row r="9">
      <x:c r="A9" s="50" t="str">
        <x:v>SK-TC-008</x:v>
      </x:c>
      <x:c r="B9" s="42" t="str">
        <x:v>Negative</x:v>
      </x:c>
      <x:c r="C9" s="42" t="str">
        <x:v>Handle application launch without internet</x:v>
      </x:c>
      <x:c r="D9" s="42" t="str">
        <x:v>Network</x:v>
      </x:c>
      <x:c r="E9" s="42" t="str">
        <x:v>TC-UI-008, TC-UI-018, TC-UI-031</x:v>
      </x:c>
      <x:c r="F9" s="42" t="str">
        <x:v>Отображается сообщение об ошибке; нет технического текста</x:v>
      </x:c>
      <x:c r="G9" s="42" t="str">
        <x:v>Passed</x:v>
      </x:c>
      <x:c r="H9" s="42" t="str"/>
      <x:c r="I9" s="51" t="str"/>
    </x:row>
    <x:row r="10">
      <x:c r="A10" s="50" t="str">
        <x:v>SK-TC-009</x:v>
      </x:c>
      <x:c r="B10" s="42" t="str">
        <x:v>Functional</x:v>
      </x:c>
      <x:c r="C10" s="42" t="str">
        <x:v>Refresh content after reopening the application</x:v>
      </x:c>
      <x:c r="D10" s="42" t="str">
        <x:v>Home</x:v>
      </x:c>
      <x:c r="E10" s="42" t="str">
        <x:v>TC-UI-009, TC-UI-023</x:v>
      </x:c>
      <x:c r="F10" s="42" t="str">
        <x:v>Контент отображается; данные актуальны; отсутствуют дубликаты карточек</x:v>
      </x:c>
      <x:c r="G10" s="42" t="str">
        <x:v>Passed</x:v>
      </x:c>
      <x:c r="H10" s="42" t="str"/>
      <x:c r="I10" s="51" t="str"/>
    </x:row>
    <x:row r="11">
      <x:c r="A11" s="50" t="str">
        <x:v>SK-TC-010</x:v>
      </x:c>
      <x:c r="B11" s="42" t="str">
        <x:v>UI</x:v>
      </x:c>
      <x:c r="C11" s="42" t="str">
        <x:v>Adapt the interface after device rotation</x:v>
      </x:c>
      <x:c r="D11" s="42" t="str">
        <x:v>UI</x:v>
      </x:c>
      <x:c r="E11" s="42" t="str">
        <x:v>TC-UI-010, TC-UI-025</x:v>
      </x:c>
      <x:c r="F11" s="42" t="str">
        <x:v>Интерфейс адаптируется; элементы не накладываются друг на друга</x:v>
      </x:c>
      <x:c r="G11" s="42" t="str">
        <x:v>Passed</x:v>
      </x:c>
      <x:c r="H11" s="42" t="str"/>
      <x:c r="I11" s="51" t="str"/>
    </x:row>
    <x:row r="12">
      <x:c r="A12" s="50" t="str">
        <x:v>SK-TC-011</x:v>
      </x:c>
      <x:c r="B12" s="42" t="str">
        <x:v>UI</x:v>
      </x:c>
      <x:c r="C12" s="42" t="str">
        <x:v>Display a loader during data loading</x:v>
      </x:c>
      <x:c r="D12" s="42" t="str">
        <x:v>Loading</x:v>
      </x:c>
      <x:c r="E12" s="42" t="str">
        <x:v>TC-UI-011, TC-UI-019</x:v>
      </x:c>
      <x:c r="F12" s="42" t="str">
        <x:v>Отображается индикатор загрузки; после загрузки появляется главный экран</x:v>
      </x:c>
      <x:c r="G12" s="42" t="str">
        <x:v>Passed</x:v>
      </x:c>
      <x:c r="H12" s="42" t="str"/>
      <x:c r="I12" s="51" t="str"/>
    </x:row>
    <x:row r="13">
      <x:c r="A13" s="50" t="str">
        <x:v>SK-TC-012</x:v>
      </x:c>
      <x:c r="B13" s="42" t="str">
        <x:v>UI</x:v>
      </x:c>
      <x:c r="C13" s="42" t="str">
        <x:v>Display a placeholder when an image is missing</x:v>
      </x:c>
      <x:c r="D13" s="42" t="str">
        <x:v>UI</x:v>
      </x:c>
      <x:c r="E13" s="42" t="str">
        <x:v>TC-UI-020</x:v>
      </x:c>
      <x:c r="F13" s="42" t="str">
        <x:v>Вместо изображения отображается заглушка; верстка не нарушается</x:v>
      </x:c>
      <x:c r="G13" s="42" t="str">
        <x:v>Passed</x:v>
      </x:c>
      <x:c r="H13" s="42" t="str"/>
      <x:c r="I13" s="51" t="str"/>
    </x:row>
    <x:row r="14">
      <x:c r="A14" s="50" t="str">
        <x:v>SK-TC-013</x:v>
      </x:c>
      <x:c r="B14" s="42" t="str">
        <x:v>UI</x:v>
      </x:c>
      <x:c r="C14" s="42" t="str">
        <x:v>Display long movie titles without breaking layout</x:v>
      </x:c>
      <x:c r="D14" s="42" t="str">
        <x:v>UI</x:v>
      </x:c>
      <x:c r="E14" s="42" t="str">
        <x:v>TC-UI-021</x:v>
      </x:c>
      <x:c r="F14" s="42" t="str">
        <x:v>Название переносится на следующую строку; текст не обрезается; интерфейс не ломается</x:v>
      </x:c>
      <x:c r="G14" s="42" t="str">
        <x:v>Passed</x:v>
      </x:c>
      <x:c r="H14" s="42" t="str"/>
      <x:c r="I14" s="51" t="str"/>
    </x:row>
    <x:row r="15">
      <x:c r="A15" s="50" t="str">
        <x:v>SK-TC-014</x:v>
      </x:c>
      <x:c r="B15" s="42" t="str">
        <x:v>Performance</x:v>
      </x:c>
      <x:c r="C15" s="42" t="str">
        <x:v>Open a movie card within three seconds</x:v>
      </x:c>
      <x:c r="D15" s="42" t="str">
        <x:v>Performance</x:v>
      </x:c>
      <x:c r="E15" s="42" t="str">
        <x:v>TC-UI-022</x:v>
      </x:c>
      <x:c r="F15" s="42" t="str">
        <x:v>Карточка фильма открывается менее чем за 3 секунды</x:v>
      </x:c>
      <x:c r="G15" s="42" t="str">
        <x:v>Passed</x:v>
      </x:c>
      <x:c r="H15" s="42" t="str"/>
      <x:c r="I15" s="51" t="str"/>
    </x:row>
    <x:row r="16">
      <x:c r="A16" s="50" t="str">
        <x:v>SK-TC-015</x:v>
      </x:c>
      <x:c r="B16" s="42" t="str">
        <x:v>Functional</x:v>
      </x:c>
      <x:c r="C16" s="42" t="str">
        <x:v>Display onboarding on the first launch</x:v>
      </x:c>
      <x:c r="D16" s="42" t="str">
        <x:v>Onboarding</x:v>
      </x:c>
      <x:c r="E16" s="42" t="str">
        <x:v>TC-UI-024, TC-UI-026, TC-UI-043, TC_UX_001</x:v>
      </x:c>
      <x:c r="F16" s="42" t="str">
        <x:v>При первом запуске отображается экран онбординга с информацией о возможностях приложения</x:v>
      </x:c>
      <x:c r="G16" s="42" t="str">
        <x:v>Needs clarification</x:v>
      </x:c>
      <x:c r="H16" s="42" t="str">
        <x:v>SK-BUG-001</x:v>
      </x:c>
      <x:c r="I16" s="51" t="str">
        <x:v>Source results conflict: both Passed and Failed are recorded. Re-test on a documented build.</x:v>
      </x:c>
    </x:row>
    <x:row r="17">
      <x:c r="A17" s="50" t="str">
        <x:v>SK-TC-016</x:v>
      </x:c>
      <x:c r="B17" s="42" t="str">
        <x:v>UI</x:v>
      </x:c>
      <x:c r="C17" s="42" t="str">
        <x:v>Switch onboarding screens by swipe</x:v>
      </x:c>
      <x:c r="D17" s="42" t="str">
        <x:v>Onboarding</x:v>
      </x:c>
      <x:c r="E17" s="42" t="str">
        <x:v>TC-UI-044</x:v>
      </x:c>
      <x:c r="F17" s="42" t="str">
        <x:v>Открывается следующий экран; анимация плавная; текст и иллюстрации отображаются полностью</x:v>
      </x:c>
      <x:c r="G17" s="42" t="str">
        <x:v>Passed</x:v>
      </x:c>
      <x:c r="H17" s="42" t="str"/>
      <x:c r="I17" s="51" t="str"/>
    </x:row>
    <x:row r="18">
      <x:c r="A18" s="50" t="str">
        <x:v>SK-TC-017</x:v>
      </x:c>
      <x:c r="B18" s="42" t="str">
        <x:v>UI</x:v>
      </x:c>
      <x:c r="C18" s="42" t="str">
        <x:v>Display required movie collections on Home</x:v>
      </x:c>
      <x:c r="D18" s="42" t="str">
        <x:v>Home</x:v>
      </x:c>
      <x:c r="E18" s="42" t="str">
        <x:v>TC-UI-028</x:v>
      </x:c>
      <x:c r="F18" s="42" t="str">
        <x:v>Отображаются: Премьеры, Популярное, Топ-250, Сериалы, динамические подборки</x:v>
      </x:c>
      <x:c r="G18" s="42" t="str">
        <x:v>Passed</x:v>
      </x:c>
      <x:c r="H18" s="42" t="str"/>
      <x:c r="I18" s="51" t="str"/>
    </x:row>
    <x:row r="19">
      <x:c r="A19" s="50" t="str">
        <x:v>SK-TC-018</x:v>
      </x:c>
      <x:c r="B19" s="42" t="str">
        <x:v>UI</x:v>
      </x:c>
      <x:c r="C19" s="42" t="str">
        <x:v>Display required data on a movie card</x:v>
      </x:c>
      <x:c r="D19" s="42" t="str">
        <x:v>Home</x:v>
      </x:c>
      <x:c r="E19" s="42" t="str">
        <x:v>TC-UI-030</x:v>
      </x:c>
      <x:c r="F19" s="42" t="str">
        <x:v>Карточка содержит постер, название, жанр, рейтинг</x:v>
      </x:c>
      <x:c r="G19" s="42" t="str">
        <x:v>Passed</x:v>
      </x:c>
      <x:c r="H19" s="42" t="str"/>
      <x:c r="I19" s="51" t="str"/>
    </x:row>
    <x:row r="20">
      <x:c r="A20" s="50" t="str">
        <x:v>SK-TC-019</x:v>
      </x:c>
      <x:c r="B20" s="42" t="str">
        <x:v>UI</x:v>
      </x:c>
      <x:c r="C20" s="42" t="str">
        <x:v>Display the main movie details</x:v>
      </x:c>
      <x:c r="D20" s="42" t="str">
        <x:v>Movie details</x:v>
      </x:c>
      <x:c r="E20" s="42" t="str">
        <x:v>TC-UI-032, TC-UI-051</x:v>
      </x:c>
      <x:c r="F20" s="42" t="str">
        <x:v>Отображается постер; название на русском; рейтинг; альтернативное название (если есть); данные читаемы и не перекрываются</x:v>
      </x:c>
      <x:c r="G20" s="42" t="str">
        <x:v>Passed</x:v>
      </x:c>
      <x:c r="H20" s="42" t="str"/>
      <x:c r="I20" s="51" t="str"/>
    </x:row>
    <x:row r="21">
      <x:c r="A21" s="50" t="str">
        <x:v>SK-TC-020</x:v>
      </x:c>
      <x:c r="B21" s="42" t="str">
        <x:v>Functional</x:v>
      </x:c>
      <x:c r="C21" s="42" t="str">
        <x:v>Add and remove a movie from Favorites</x:v>
      </x:c>
      <x:c r="D21" s="42" t="str">
        <x:v>Movie details</x:v>
      </x:c>
      <x:c r="E21" s="42" t="str">
        <x:v>TC-UI-033, TC-UI-052, TC_UX_004</x:v>
      </x:c>
      <x:c r="F21" s="42" t="str">
        <x:v>Кнопка переходит в активное состояние; фильм добавлен в список «Любимые»; повторное нажатие удаляет фильм</x:v>
      </x:c>
      <x:c r="G21" s="42" t="str">
        <x:v>Passed</x:v>
      </x:c>
      <x:c r="H21" s="42" t="str"/>
      <x:c r="I21" s="51" t="str"/>
    </x:row>
    <x:row r="22">
      <x:c r="A22" s="50" t="str">
        <x:v>SK-TC-021</x:v>
      </x:c>
      <x:c r="B22" s="42" t="str">
        <x:v>Functional</x:v>
      </x:c>
      <x:c r="C22" s="42" t="str">
        <x:v>Mark a movie as watched</x:v>
      </x:c>
      <x:c r="D22" s="42" t="str">
        <x:v>Movie details</x:v>
      </x:c>
      <x:c r="E22" s="42" t="str">
        <x:v>TC-UI-034, TC-UI-054, TC_UX_005</x:v>
      </x:c>
      <x:c r="F22" s="42" t="str">
        <x:v>Фильм помечается как просмотренный; при возврате на Главную появляется индикатор просмотра</x:v>
      </x:c>
      <x:c r="G22" s="42" t="str">
        <x:v>Passed</x:v>
      </x:c>
      <x:c r="H22" s="42" t="str"/>
      <x:c r="I22" s="51" t="str"/>
    </x:row>
    <x:row r="23">
      <x:c r="A23" s="50" t="str">
        <x:v>SK-TC-022</x:v>
      </x:c>
      <x:c r="B23" s="42" t="str">
        <x:v>UI</x:v>
      </x:c>
      <x:c r="C23" s="42" t="str">
        <x:v>Display the image gallery block</x:v>
      </x:c>
      <x:c r="D23" s="42" t="str">
        <x:v>Movie details</x:v>
      </x:c>
      <x:c r="E23" s="42" t="str">
        <x:v>TC-UI-035</x:v>
      </x:c>
      <x:c r="F23" s="42" t="str">
        <x:v>Отображается список изображений</x:v>
      </x:c>
      <x:c r="G23" s="42" t="str">
        <x:v>Passed</x:v>
      </x:c>
      <x:c r="H23" s="42" t="str"/>
      <x:c r="I23" s="51" t="str"/>
    </x:row>
    <x:row r="24">
      <x:c r="A24" s="50" t="str">
        <x:v>SK-TC-023</x:v>
      </x:c>
      <x:c r="B24" s="42" t="str">
        <x:v>Functional</x:v>
      </x:c>
      <x:c r="C24" s="42" t="str">
        <x:v>Open search settings</x:v>
      </x:c>
      <x:c r="D24" s="42" t="str">
        <x:v>Search</x:v>
      </x:c>
      <x:c r="E24" s="42" t="str">
        <x:v>TC-UI-037, TC-UI-059</x:v>
      </x:c>
      <x:c r="F24" s="42" t="str">
        <x:v>Открывается экран фильтров; отображаются параметры: страна, жанр, рейтинг, год, сортировка</x:v>
      </x:c>
      <x:c r="G24" s="42" t="str">
        <x:v>Passed</x:v>
      </x:c>
      <x:c r="H24" s="42" t="str"/>
      <x:c r="I24" s="51" t="str"/>
    </x:row>
    <x:row r="25">
      <x:c r="A25" s="50" t="str">
        <x:v>SK-TC-024</x:v>
      </x:c>
      <x:c r="B25" s="42" t="str">
        <x:v>Functional</x:v>
      </x:c>
      <x:c r="C25" s="42" t="str">
        <x:v>Open the Profile tab</x:v>
      </x:c>
      <x:c r="D25" s="42" t="str">
        <x:v>Profile</x:v>
      </x:c>
      <x:c r="E25" s="42" t="str">
        <x:v>TC-UI-039, TC-UI-061</x:v>
      </x:c>
      <x:c r="F25" s="42" t="str">
        <x:v>Отображаются блоки: Просмотрено, Коллекции, История интересов</x:v>
      </x:c>
      <x:c r="G25" s="42" t="str">
        <x:v>Passed</x:v>
      </x:c>
      <x:c r="H25" s="42" t="str"/>
      <x:c r="I25" s="51" t="str"/>
    </x:row>
    <x:row r="26">
      <x:c r="A26" s="50" t="str">
        <x:v>SK-TC-025</x:v>
      </x:c>
      <x:c r="B26" s="42" t="str">
        <x:v>Functional</x:v>
      </x:c>
      <x:c r="C26" s="42" t="str">
        <x:v>Create a user collection</x:v>
      </x:c>
      <x:c r="D26" s="42" t="str">
        <x:v>Profile</x:v>
      </x:c>
      <x:c r="E26" s="42" t="str">
        <x:v>TC-UI-040, TC-UI-062</x:v>
      </x:c>
      <x:c r="F26" s="42" t="str">
        <x:v>Коллекция появляется в списке; отображается название и количество фильмов</x:v>
      </x:c>
      <x:c r="G26" s="42" t="str">
        <x:v>Passed</x:v>
      </x:c>
      <x:c r="H26" s="42" t="str"/>
      <x:c r="I26" s="51" t="str"/>
    </x:row>
    <x:row r="27">
      <x:c r="A27" s="50" t="str">
        <x:v>SK-TC-026</x:v>
      </x:c>
      <x:c r="B27" s="42" t="str">
        <x:v>Functional</x:v>
      </x:c>
      <x:c r="C27" s="42" t="str">
        <x:v>Delete a user collection</x:v>
      </x:c>
      <x:c r="D27" s="42" t="str">
        <x:v>Profile</x:v>
      </x:c>
      <x:c r="E27" s="42" t="str">
        <x:v>TC-UI-041, TC-UI-063</x:v>
      </x:c>
      <x:c r="F27" s="42" t="str">
        <x:v>Коллекция исчезает из списка; экран обновляется</x:v>
      </x:c>
      <x:c r="G27" s="42" t="str">
        <x:v>Passed</x:v>
      </x:c>
      <x:c r="H27" s="42" t="str"/>
      <x:c r="I27" s="51" t="str"/>
    </x:row>
    <x:row r="28">
      <x:c r="A28" s="50" t="str">
        <x:v>SK-TC-027</x:v>
      </x:c>
      <x:c r="B28" s="42" t="str">
        <x:v>Performance</x:v>
      </x:c>
      <x:c r="C28" s="42" t="str">
        <x:v>Send search requests only after input pause</x:v>
      </x:c>
      <x:c r="D28" s="42" t="str">
        <x:v>Search / Network</x:v>
      </x:c>
      <x:c r="E28" s="42" t="str">
        <x:v>TC-UI-042</x:v>
      </x:c>
      <x:c r="F28" s="42" t="str">
        <x:v>API запрос отправляется после завершения ввода текста или после паузы (debounce)</x:v>
      </x:c>
      <x:c r="G28" s="42" t="str">
        <x:v>Failed</x:v>
      </x:c>
      <x:c r="H28" s="42" t="str">
        <x:v>SK-BUG-002</x:v>
      </x:c>
      <x:c r="I28" s="51" t="str"/>
    </x:row>
    <x:row r="29">
      <x:c r="A29" s="50" t="str">
        <x:v>SK-TC-028</x:v>
      </x:c>
      <x:c r="B29" s="42" t="str">
        <x:v>UI</x:v>
      </x:c>
      <x:c r="C29" s="42" t="str">
        <x:v>Display the Premieres collection</x:v>
      </x:c>
      <x:c r="D29" s="42" t="str">
        <x:v>Home</x:v>
      </x:c>
      <x:c r="E29" s="42" t="str">
        <x:v>TC-UI-046</x:v>
      </x:c>
      <x:c r="F29" s="42" t="str">
        <x:v>Отображается заголовок «Премьеры»; под ним горизонтальный список карточек фильмов; каждая карточка содержит постер, название, жанр и рейтинг</x:v>
      </x:c>
      <x:c r="G29" s="42" t="str">
        <x:v>Passed</x:v>
      </x:c>
      <x:c r="H29" s="42" t="str"/>
      <x:c r="I29" s="51" t="str"/>
    </x:row>
    <x:row r="30">
      <x:c r="A30" s="50" t="str">
        <x:v>SK-TC-029</x:v>
      </x:c>
      <x:c r="B30" s="42" t="str">
        <x:v>Functional</x:v>
      </x:c>
      <x:c r="C30" s="42" t="str">
        <x:v>Limit preview collections and display the All button</x:v>
      </x:c>
      <x:c r="D30" s="42" t="str">
        <x:v>Home</x:v>
      </x:c>
      <x:c r="E30" s="42" t="str">
        <x:v>TC-UI-047, TC_UX_003</x:v>
      </x:c>
      <x:c r="F30" s="42" t="str">
        <x:v>Отображается не более 20 карточек; если фильмов больше — справа от заголовка присутствует кнопка «Все»</x:v>
      </x:c>
      <x:c r="G30" s="42" t="str">
        <x:v>Passed</x:v>
      </x:c>
      <x:c r="H30" s="42" t="str"/>
      <x:c r="I30" s="51" t="str"/>
    </x:row>
    <x:row r="31">
      <x:c r="A31" s="50" t="str">
        <x:v>SK-TC-030</x:v>
      </x:c>
      <x:c r="B31" s="42" t="str">
        <x:v>Functional</x:v>
      </x:c>
      <x:c r="C31" s="42" t="str">
        <x:v>Open the full collection list</x:v>
      </x:c>
      <x:c r="D31" s="42" t="str">
        <x:v>Home</x:v>
      </x:c>
      <x:c r="E31" s="42" t="str">
        <x:v>TC-UI-048</x:v>
      </x:c>
      <x:c r="F31" s="42" t="str">
        <x:v>Открывается экран с полным списком фильмов данной подборки; список вертикальный; отображаются постеры, названия и рейтинги</x:v>
      </x:c>
      <x:c r="G31" s="42" t="str">
        <x:v>Passed</x:v>
      </x:c>
      <x:c r="H31" s="42" t="str"/>
      <x:c r="I31" s="51" t="str"/>
    </x:row>
    <x:row r="32">
      <x:c r="A32" s="50" t="str">
        <x:v>SK-TC-031</x:v>
      </x:c>
      <x:c r="B32" s="42" t="str">
        <x:v>UI</x:v>
      </x:c>
      <x:c r="C32" s="42" t="str">
        <x:v>Display a watched indicator on movie cards</x:v>
      </x:c>
      <x:c r="D32" s="42" t="str">
        <x:v>Home</x:v>
      </x:c>
      <x:c r="E32" s="42" t="str">
        <x:v>TC-UI-050</x:v>
      </x:c>
      <x:c r="F32" s="42" t="str">
        <x:v>На карточке фильма отображается индикатор просмотра; карточка визуально отличается от непросмотренных</x:v>
      </x:c>
      <x:c r="G32" s="42" t="str">
        <x:v>Passed</x:v>
      </x:c>
      <x:c r="H32" s="42" t="str"/>
      <x:c r="I32" s="51" t="str"/>
    </x:row>
    <x:row r="33">
      <x:c r="A33" s="50" t="str">
        <x:v>SK-TC-032</x:v>
      </x:c>
      <x:c r="B33" s="42" t="str">
        <x:v>Functional</x:v>
      </x:c>
      <x:c r="C33" s="42" t="str">
        <x:v>Add a movie to Want to Watch</x:v>
      </x:c>
      <x:c r="D33" s="42" t="str">
        <x:v>Movie details</x:v>
      </x:c>
      <x:c r="E33" s="42" t="str">
        <x:v>TC-UI-053</x:v>
      </x:c>
      <x:c r="F33" s="42" t="str">
        <x:v>Фильм добавлен в список; кнопка отображается активной</x:v>
      </x:c>
      <x:c r="G33" s="42" t="str">
        <x:v>Passed</x:v>
      </x:c>
      <x:c r="H33" s="42" t="str"/>
      <x:c r="I33" s="51" t="str"/>
    </x:row>
    <x:row r="34">
      <x:c r="A34" s="50" t="str">
        <x:v>SK-TC-033</x:v>
      </x:c>
      <x:c r="B34" s="42" t="str">
        <x:v>Functional</x:v>
      </x:c>
      <x:c r="C34" s="42" t="str">
        <x:v>Open and scroll full-screen gallery images</x:v>
      </x:c>
      <x:c r="D34" s="42" t="str">
        <x:v>Movie details</x:v>
      </x:c>
      <x:c r="E34" s="42" t="str">
        <x:v>TC-UI-055</x:v>
      </x:c>
      <x:c r="F34" s="42" t="str">
        <x:v>Изображение открывается на полный экран; доступна прокрутка изображений</x:v>
      </x:c>
      <x:c r="G34" s="42" t="str">
        <x:v>Passed</x:v>
      </x:c>
      <x:c r="H34" s="42" t="str"/>
      <x:c r="I34" s="51" t="str"/>
    </x:row>
    <x:row r="35">
      <x:c r="A35" s="50" t="str">
        <x:v>SK-TC-034</x:v>
      </x:c>
      <x:c r="B35" s="42" t="str">
        <x:v>Functional</x:v>
      </x:c>
      <x:c r="C35" s="42" t="str">
        <x:v>Open an actor profile</x:v>
      </x:c>
      <x:c r="D35" s="42" t="str">
        <x:v>Movie details</x:v>
      </x:c>
      <x:c r="E35" s="42" t="str">
        <x:v>TC-UI-056</x:v>
      </x:c>
      <x:c r="F35" s="42" t="str">
        <x:v>Открывается экран актёра; отображается фото, имя и список фильмов</x:v>
      </x:c>
      <x:c r="G35" s="42" t="str">
        <x:v>Passed</x:v>
      </x:c>
      <x:c r="H35" s="42" t="str"/>
      <x:c r="I35" s="51" t="str"/>
    </x:row>
    <x:row r="36">
      <x:c r="A36" s="50" t="str">
        <x:v>SK-TC-035</x:v>
      </x:c>
      <x:c r="B36" s="42" t="str">
        <x:v>Functional</x:v>
      </x:c>
      <x:c r="C36" s="42" t="str">
        <x:v>Hide the loader after a network error</x:v>
      </x:c>
      <x:c r="D36" s="42" t="str">
        <x:v>Network / Error handling</x:v>
      </x:c>
      <x:c r="E36" s="42" t="str">
        <x:v>TC-UI-060</x:v>
      </x:c>
      <x:c r="F36" s="42" t="str">
        <x:v>Loader отображается во время запроса и исчезает после появления сообщения об ошибке</x:v>
      </x:c>
      <x:c r="G36" s="42" t="str">
        <x:v>Failed</x:v>
      </x:c>
      <x:c r="H36" s="42" t="str">
        <x:v>SK-BUG-003</x:v>
      </x:c>
      <x:c r="I36" s="51" t="str"/>
    </x:row>
    <x:row r="37">
      <x:c r="A37" s="50" t="str">
        <x:v>SK-TC-036</x:v>
      </x:c>
      <x:c r="B37" s="42" t="str">
        <x:v>Functional</x:v>
      </x:c>
      <x:c r="C37" s="42" t="str">
        <x:v>Display the Related Movies block on a series page</x:v>
      </x:c>
      <x:c r="D37" s="42" t="str">
        <x:v>Series details</x:v>
      </x:c>
      <x:c r="E37" s="42" t="str">
        <x:v>TC_UX_006</x:v>
      </x:c>
      <x:c r="F37" s="42" t="str">
        <x:v>Отображается блок "Похожие фильмы"</x:v>
      </x:c>
      <x:c r="G37" s="42" t="str">
        <x:v>Failed</x:v>
      </x:c>
      <x:c r="H37" s="42" t="str">
        <x:v>SK-BUG-004</x:v>
      </x:c>
      <x:c r="I37" s="51" t="str"/>
    </x:row>
    <x:row r="38">
      <x:c r="A38" s="50" t="str">
        <x:v>SK-TC-037</x:v>
      </x:c>
      <x:c r="B38" s="42" t="str">
        <x:v>Functional</x:v>
      </x:c>
      <x:c r="C38" s="42" t="str">
        <x:v>Display all required gallery categories</x:v>
      </x:c>
      <x:c r="D38" s="42" t="str">
        <x:v>Gallery</x:v>
      </x:c>
      <x:c r="E38" s="42" t="str">
        <x:v>TC_UX_007</x:v>
      </x:c>
      <x:c r="F38" s="42" t="str">
        <x:v>Есть категории: кадры, со съемок, постеры</x:v>
      </x:c>
      <x:c r="G38" s="42" t="str">
        <x:v>Failed</x:v>
      </x:c>
      <x:c r="H38" s="42" t="str">
        <x:v>SK-BUG-005</x:v>
      </x:c>
      <x:c r="I38" s="51" t="str"/>
    </x:row>
    <x:row r="39">
      <x:c r="A39" s="50" t="str">
        <x:v>SK-TC-038</x:v>
      </x:c>
      <x:c r="B39" s="42" t="str">
        <x:v>UX</x:v>
      </x:c>
      <x:c r="C39" s="42" t="str">
        <x:v>Preserve search filters during the session</x:v>
      </x:c>
      <x:c r="D39" s="42" t="str">
        <x:v>Search</x:v>
      </x:c>
      <x:c r="E39" s="42" t="str">
        <x:v>TC_UX_009</x:v>
      </x:c>
      <x:c r="F39" s="42" t="str">
        <x:v>Фильтры сохраняются</x:v>
      </x:c>
      <x:c r="G39" s="42" t="str">
        <x:v>Passed</x:v>
      </x:c>
      <x:c r="H39" s="42" t="str"/>
      <x:c r="I39" s="51" t="str"/>
    </x:row>
    <x:row r="40">
      <x:c r="A40" s="50" t="str">
        <x:v>SK-TC-039</x:v>
      </x:c>
      <x:c r="B40" s="42" t="str">
        <x:v>Functional</x:v>
      </x:c>
      <x:c r="C40" s="42" t="str">
        <x:v>Clear viewing history from Profile</x:v>
      </x:c>
      <x:c r="D40" s="42" t="str">
        <x:v>Profile</x:v>
      </x:c>
      <x:c r="E40" s="42" t="str">
        <x:v>TC_UX_010</x:v>
      </x:c>
      <x:c r="F40" s="42" t="str">
        <x:v>История очищается</x:v>
      </x:c>
      <x:c r="G40" s="42" t="str">
        <x:v>Passed</x:v>
      </x:c>
      <x:c r="H40" s="42" t="str"/>
      <x:c r="I40" s="51" t="str"/>
    </x:row>
    <x:row r="41">
      <x:c r="A41" s="50" t="str">
        <x:v>SK-TC-040</x:v>
      </x:c>
      <x:c r="B41" s="42" t="str">
        <x:v>UI</x:v>
      </x:c>
      <x:c r="C41" s="42" t="str">
        <x:v>Match the filter label with the design mockup</x:v>
      </x:c>
      <x:c r="D41" s="42" t="str">
        <x:v>Search / Filters</x:v>
      </x:c>
      <x:c r="E41" s="42" t="str">
        <x:v>TC_UX_011</x:v>
      </x:c>
      <x:c r="F41" s="42" t="str">
        <x:v>Название "Период"</x:v>
      </x:c>
      <x:c r="G41" s="42" t="str">
        <x:v>Failed</x:v>
      </x:c>
      <x:c r="H41" s="42" t="str">
        <x:v>SK-BUG-006</x:v>
      </x:c>
      <x:c r="I41" s="51" t="str"/>
    </x:row>
    <x:row r="42">
      <x:c r="A42" s="52" t="str">
        <x:v>SK-TC-041</x:v>
      </x:c>
      <x:c r="B42" s="67" t="str">
        <x:v>UI</x:v>
      </x:c>
      <x:c r="C42" s="67" t="str">
        <x:v>Match the Select button corner radius with the mockup</x:v>
      </x:c>
      <x:c r="D42" s="67" t="str">
        <x:v>Search / Filters</x:v>
      </x:c>
      <x:c r="E42" s="67" t="str">
        <x:v>TC_UX_012</x:v>
      </x:c>
      <x:c r="F42" s="67" t="str">
        <x:v>Кнопка соответствует макету (скругления)</x:v>
      </x:c>
      <x:c r="G42" s="67" t="str">
        <x:v>Failed</x:v>
      </x:c>
      <x:c r="H42" s="67" t="str">
        <x:v>SK-BUG-007</x:v>
      </x:c>
      <x:c r="I42" s="53" t="str"/>
    </x:row>
  </x:sheetData>
  <x:conditionalFormatting sqref="G2:G42">
    <x:cfRule type="expression" dxfId="0" priority="1">
      <x:formula>G2="Passed"</x:formula>
    </x:cfRule>
    <x:cfRule type="expression" dxfId="1" priority="2">
      <x:formula>G2="Failed"</x:formula>
    </x:cfRule>
    <x:cfRule type="expression" dxfId="2" priority="3">
      <x:formula>G2="Needs clarification"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d7051ecc5e4d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20" hidden="0" customWidth="1"/>
    <x:col min="5" max="5" width="12" hidden="0" customWidth="1"/>
    <x:col min="6" max="6" width="30" hidden="0" customWidth="1"/>
    <x:col min="7" max="7" width="22" hidden="0" customWidth="1"/>
    <x:col min="8" max="8" width="42" hidden="0" customWidth="1"/>
    <x:col min="9" max="9" width="42" hidden="0" customWidth="1"/>
    <x:col min="10" max="10" width="38" hidden="0" customWidth="1"/>
    <x:col min="11" max="11" width="12" hidden="0" customWidth="1"/>
    <x:col min="12" max="12" width="14" hidden="0" customWidth="1"/>
    <x:col min="13" max="13" width="42" hidden="0" customWidth="1"/>
  </x:cols>
  <x:sheetData>
    <x:row r="1">
      <x:c r="A1" s="64" t="str">
        <x:v>Source ID</x:v>
      </x:c>
      <x:c r="B1" s="65" t="str">
        <x:v>Type</x:v>
      </x:c>
      <x:c r="C1" s="65" t="str">
        <x:v>Title</x:v>
      </x:c>
      <x:c r="D1" s="65" t="str">
        <x:v>Module</x:v>
      </x:c>
      <x:c r="E1" s="65" t="str">
        <x:v>Priority</x:v>
      </x:c>
      <x:c r="F1" s="65" t="str">
        <x:v>Preconditions</x:v>
      </x:c>
      <x:c r="G1" s="65" t="str">
        <x:v>Test Data</x:v>
      </x:c>
      <x:c r="H1" s="65" t="str">
        <x:v>Steps</x:v>
      </x:c>
      <x:c r="I1" s="65" t="str">
        <x:v>Expected Result</x:v>
      </x:c>
      <x:c r="J1" s="65" t="str">
        <x:v>Actual Result</x:v>
      </x:c>
      <x:c r="K1" s="65" t="str">
        <x:v>Status</x:v>
      </x:c>
      <x:c r="L1" s="65" t="str">
        <x:v>Bug ID</x:v>
      </x:c>
      <x:c r="M1" s="66" t="str">
        <x:v>Notes</x:v>
      </x:c>
    </x:row>
    <x:row r="2">
      <x:c r="A2" s="50" t="str">
        <x:v>TC-UI-001</x:v>
      </x:c>
      <x:c r="B2" s="42" t="str">
        <x:v>UI</x:v>
      </x:c>
      <x:c r="C2" s="42" t="str">
        <x:v>Отображение splash-экрана при запуске приложения</x:v>
      </x:c>
      <x:c r="D2" s="42" t="str">
        <x:v>Запуск</x:v>
      </x:c>
      <x:c r="E2" s="42" t="str">
        <x:v>High</x:v>
      </x:c>
      <x:c r="F2" s="42" t="str">
        <x:v>Приложение установлено</x:v>
      </x:c>
      <x:c r="G2" s="42" t="str">
        <x:v>-</x:v>
      </x:c>
      <x:c r="H2" s="42" t="str">
        <x:v>1. Запустить приложение
2. Наблюдать экран загрузки</x:v>
      </x:c>
      <x:c r="I2" s="42" t="str">
        <x:v>Отображается splash-экран с логотипом Нет артефактов Происходит переход на главный экран</x:v>
      </x:c>
      <x:c r="J2" s="42" t="str"/>
      <x:c r="K2" s="42" t="str">
        <x:v>Passed</x:v>
      </x:c>
      <x:c r="L2" s="42" t="str"/>
      <x:c r="M2" s="51" t="str"/>
    </x:row>
    <x:row r="3">
      <x:c r="A3" s="50" t="str">
        <x:v>TC-UI-002</x:v>
      </x:c>
      <x:c r="B3" s="42" t="str">
        <x:v>UI</x:v>
      </x:c>
      <x:c r="C3" s="42" t="str">
        <x:v>Корректное отображение главного экрана</x:v>
      </x:c>
      <x:c r="D3" s="42" t="str">
        <x:v>Главный экран</x:v>
      </x:c>
      <x:c r="E3" s="42" t="str">
        <x:v>High</x:v>
      </x:c>
      <x:c r="F3" s="42" t="str">
        <x:v>Приложение запущено</x:v>
      </x:c>
      <x:c r="G3" s="42" t="str">
        <x:v>-</x:v>
      </x:c>
      <x:c r="H3" s="42" t="str">
        <x:v>1. Открыть приложение
2. Дождаться загрузки главного экрана</x:v>
      </x:c>
      <x:c r="I3" s="42" t="str">
        <x:v>Отображается список фильмов Карточки отображаются корректно Нет наложения элементов</x:v>
      </x:c>
      <x:c r="J3" s="42" t="str"/>
      <x:c r="K3" s="42" t="str">
        <x:v>Passed</x:v>
      </x:c>
      <x:c r="L3" s="42" t="str"/>
      <x:c r="M3" s="51" t="str"/>
    </x:row>
    <x:row r="4">
      <x:c r="A4" s="50" t="str">
        <x:v>TC-UI-003</x:v>
      </x:c>
      <x:c r="B4" s="42" t="str">
        <x:v>UI</x:v>
      </x:c>
      <x:c r="C4" s="42" t="str">
        <x:v>Плавный скролл списка фильмов</x:v>
      </x:c>
      <x:c r="D4" s="42" t="str">
        <x:v>Главный экран</x:v>
      </x:c>
      <x:c r="E4" s="42" t="str">
        <x:v>High</x:v>
      </x:c>
      <x:c r="F4" s="42" t="str">
        <x:v>Главный экран открыт</x:v>
      </x:c>
      <x:c r="G4" s="42" t="str">
        <x:v>-</x:v>
      </x:c>
      <x:c r="H4" s="42" t="str">
        <x:v>1. Прокрутить список фильмов вниз
2. Продолжить прокрутку</x:v>
      </x:c>
      <x:c r="I4" s="42" t="str">
        <x:v>Список прокручивается плавно Подгружается новый контент Нет зависаний</x:v>
      </x:c>
      <x:c r="J4" s="42" t="str"/>
      <x:c r="K4" s="42" t="str">
        <x:v>Passed</x:v>
      </x:c>
      <x:c r="L4" s="42" t="str"/>
      <x:c r="M4" s="51" t="str"/>
    </x:row>
    <x:row r="5">
      <x:c r="A5" s="50" t="str">
        <x:v>TC-UI-004</x:v>
      </x:c>
      <x:c r="B5" s="42" t="str">
        <x:v>Functional</x:v>
      </x:c>
      <x:c r="C5" s="42" t="str">
        <x:v>Переход в карточку фильма</x:v>
      </x:c>
      <x:c r="D5" s="42" t="str">
        <x:v>Навигация</x:v>
      </x:c>
      <x:c r="E5" s="42" t="str">
        <x:v>High</x:v>
      </x:c>
      <x:c r="F5" s="42" t="str">
        <x:v>Главный экран открыт</x:v>
      </x:c>
      <x:c r="G5" s="42" t="str">
        <x:v>-</x:v>
      </x:c>
      <x:c r="H5" s="42" t="str">
        <x:v>1. Нажать на любую карточку фильма</x:v>
      </x:c>
      <x:c r="I5" s="42" t="str">
        <x:v>Открывается экран с подробной информацией о фильме</x:v>
      </x:c>
      <x:c r="J5" s="42" t="str"/>
      <x:c r="K5" s="42" t="str">
        <x:v>Passed</x:v>
      </x:c>
      <x:c r="L5" s="42" t="str"/>
      <x:c r="M5" s="51" t="str"/>
    </x:row>
    <x:row r="6">
      <x:c r="A6" s="50" t="str">
        <x:v>TC-UI-005</x:v>
      </x:c>
      <x:c r="B6" s="42" t="str">
        <x:v>UI</x:v>
      </x:c>
      <x:c r="C6" s="42" t="str">
        <x:v>Работа кнопки 'Назад'</x:v>
      </x:c>
      <x:c r="D6" s="42" t="str">
        <x:v>Навигация</x:v>
      </x:c>
      <x:c r="E6" s="42" t="str">
        <x:v>High</x:v>
      </x:c>
      <x:c r="F6" s="42" t="str">
        <x:v>Открыта карточка фильма</x:v>
      </x:c>
      <x:c r="G6" s="42" t="str">
        <x:v>-</x:v>
      </x:c>
      <x:c r="H6" s="42" t="str">
        <x:v>1. Нажать кнопку 'Назад'</x:v>
      </x:c>
      <x:c r="I6" s="42" t="str">
        <x:v>Происходит возврат на предыдущий экран</x:v>
      </x:c>
      <x:c r="J6" s="42" t="str"/>
      <x:c r="K6" s="42" t="str">
        <x:v>Passed</x:v>
      </x:c>
      <x:c r="L6" s="42" t="str"/>
      <x:c r="M6" s="51" t="str"/>
    </x:row>
    <x:row r="7">
      <x:c r="A7" s="50" t="str">
        <x:v>TC-UI-006</x:v>
      </x:c>
      <x:c r="B7" s="42" t="str">
        <x:v>Functional</x:v>
      </x:c>
      <x:c r="C7" s="42" t="str">
        <x:v>Поиск фильма по названию</x:v>
      </x:c>
      <x:c r="D7" s="42" t="str">
        <x:v>Поиск</x:v>
      </x:c>
      <x:c r="E7" s="42" t="str">
        <x:v>High</x:v>
      </x:c>
      <x:c r="F7" s="42" t="str">
        <x:v>Приложение запущено</x:v>
      </x:c>
      <x:c r="G7" s="42" t="str">
        <x:v>Название фильма</x:v>
      </x:c>
      <x:c r="H7" s="42" t="str">
        <x:v>1. Открыть поиск
2. Ввести название фильма
3. Подтвердить ввод</x:v>
      </x:c>
      <x:c r="I7" s="42" t="str">
        <x:v>Отображаются релевантные результаты поиска</x:v>
      </x:c>
      <x:c r="J7" s="42" t="str"/>
      <x:c r="K7" s="42" t="str">
        <x:v>Passed</x:v>
      </x:c>
      <x:c r="L7" s="42" t="str"/>
      <x:c r="M7" s="51" t="str"/>
    </x:row>
    <x:row r="8">
      <x:c r="A8" s="50" t="str">
        <x:v>TC-UI-007</x:v>
      </x:c>
      <x:c r="B8" s="42" t="str">
        <x:v>UI</x:v>
      </x:c>
      <x:c r="C8" s="42" t="str">
        <x:v>Отображение пустого результата поиска</x:v>
      </x:c>
      <x:c r="D8" s="42" t="str">
        <x:v>Поиск</x:v>
      </x:c>
      <x:c r="E8" s="42" t="str">
        <x:v>Medium</x:v>
      </x:c>
      <x:c r="F8" s="42" t="str">
        <x:v>Открыт поиск</x:v>
      </x:c>
      <x:c r="G8" s="42" t="str">
        <x:v>Случайный текст</x:v>
      </x:c>
      <x:c r="H8" s="42" t="str">
        <x:v>1. Ввести произвольный текст
2. Выполнить поиск</x:v>
      </x:c>
      <x:c r="I8" s="42" t="str">
        <x:v>Отображается экран 'ничего не найдено'</x:v>
      </x:c>
      <x:c r="J8" s="42" t="str"/>
      <x:c r="K8" s="42" t="str">
        <x:v>Passed</x:v>
      </x:c>
      <x:c r="L8" s="42" t="str"/>
      <x:c r="M8" s="51" t="str"/>
    </x:row>
    <x:row r="9">
      <x:c r="A9" s="50" t="str">
        <x:v>TC-UI-008</x:v>
      </x:c>
      <x:c r="B9" s="42" t="str">
        <x:v>Negative</x:v>
      </x:c>
      <x:c r="C9" s="42" t="str">
        <x:v>Поведение приложения при отсутствии интернета</x:v>
      </x:c>
      <x:c r="D9" s="42" t="str">
        <x:v>Сеть</x:v>
      </x:c>
      <x:c r="E9" s="42" t="str">
        <x:v>High</x:v>
      </x:c>
      <x:c r="F9" s="42" t="str">
        <x:v>Интернет отключен</x:v>
      </x:c>
      <x:c r="G9" s="42" t="str">
        <x:v>-</x:v>
      </x:c>
      <x:c r="H9" s="42" t="str">
        <x:v>1. Отключить интернет
2. Запустить приложение</x:v>
      </x:c>
      <x:c r="I9" s="42" t="str">
        <x:v>Отображается сообщение об ошибке сети Приложение не падает</x:v>
      </x:c>
      <x:c r="J9" s="42" t="str"/>
      <x:c r="K9" s="42" t="str">
        <x:v>Passed</x:v>
      </x:c>
      <x:c r="L9" s="42" t="str"/>
      <x:c r="M9" s="51" t="str"/>
    </x:row>
    <x:row r="10">
      <x:c r="A10" s="50" t="str">
        <x:v>TC-UI-009</x:v>
      </x:c>
      <x:c r="B10" s="42" t="str">
        <x:v>Functional</x:v>
      </x:c>
      <x:c r="C10" s="42" t="str">
        <x:v>Обновление контента при повторном открытии приложения</x:v>
      </x:c>
      <x:c r="D10" s="42" t="str">
        <x:v>Главный экран</x:v>
      </x:c>
      <x:c r="E10" s="42" t="str">
        <x:v>Medium</x:v>
      </x:c>
      <x:c r="F10" s="42" t="str">
        <x:v>Приложение ранее запускалось</x:v>
      </x:c>
      <x:c r="G10" s="42" t="str">
        <x:v>-</x:v>
      </x:c>
      <x:c r="H10" s="42" t="str">
        <x:v>1. Закрыть приложение
2. Открыть снова</x:v>
      </x:c>
      <x:c r="I10" s="42" t="str">
        <x:v>Контент обновляется Нет дублей</x:v>
      </x:c>
      <x:c r="J10" s="42" t="str"/>
      <x:c r="K10" s="42" t="str">
        <x:v>Passed</x:v>
      </x:c>
      <x:c r="L10" s="42" t="str"/>
      <x:c r="M10" s="51" t="str"/>
    </x:row>
    <x:row r="11">
      <x:c r="A11" s="50" t="str">
        <x:v>TC-UI-010</x:v>
      </x:c>
      <x:c r="B11" s="42" t="str">
        <x:v>UI</x:v>
      </x:c>
      <x:c r="C11" s="42" t="str">
        <x:v>Проверка ориентации экрана</x:v>
      </x:c>
      <x:c r="D11" s="42" t="str">
        <x:v>UI</x:v>
      </x:c>
      <x:c r="E11" s="42" t="str">
        <x:v>Medium</x:v>
      </x:c>
      <x:c r="F11" s="42" t="str">
        <x:v>Приложение открыто</x:v>
      </x:c>
      <x:c r="G11" s="42" t="str">
        <x:v>-</x:v>
      </x:c>
      <x:c r="H11" s="42" t="str">
        <x:v>1. Повернуть устройство в landscape</x:v>
      </x:c>
      <x:c r="I11" s="42" t="str">
        <x:v>Интерфейс адаптируется Элементы не накладываются</x:v>
      </x:c>
      <x:c r="J11" s="42" t="str"/>
      <x:c r="K11" s="42" t="str">
        <x:v>Passed</x:v>
      </x:c>
      <x:c r="L11" s="42" t="str"/>
      <x:c r="M11" s="51" t="str"/>
    </x:row>
    <x:row r="12">
      <x:c r="A12" s="50" t="str">
        <x:v>TC-UI-011</x:v>
      </x:c>
      <x:c r="B12" s="42" t="str">
        <x:v>UI</x:v>
      </x:c>
      <x:c r="C12" s="42" t="str">
        <x:v>Отображение loader при загрузке данных</x:v>
      </x:c>
      <x:c r="D12" s="42" t="str">
        <x:v>UI</x:v>
      </x:c>
      <x:c r="E12" s="42" t="str">
        <x:v>High</x:v>
      </x:c>
      <x:c r="F12" s="42" t="str">
        <x:v>Медленный интернет</x:v>
      </x:c>
      <x:c r="G12" s="42" t="str">
        <x:v>-</x:v>
      </x:c>
      <x:c r="H12" s="42" t="str">
        <x:v>1. Запустить приложение</x:v>
      </x:c>
      <x:c r="I12" s="42" t="str">
        <x:v>Отображается индикатор загрузки</x:v>
      </x:c>
      <x:c r="J12" s="42" t="str"/>
      <x:c r="K12" s="42" t="str">
        <x:v>Passed</x:v>
      </x:c>
      <x:c r="L12" s="42" t="str"/>
      <x:c r="M12" s="51" t="str"/>
    </x:row>
    <x:row r="13">
      <x:c r="A13" s="50" t="str">
        <x:v>TC-UI-012</x:v>
      </x:c>
      <x:c r="B13" s="42" t="str">
        <x:v>UI</x:v>
      </x:c>
      <x:c r="C13" s="42" t="str">
        <x:v>Запуск приложения и отображение splash</x:v>
      </x:c>
      <x:c r="D13" s="42" t="str">
        <x:v>Запуск</x:v>
      </x:c>
      <x:c r="E13" s="42" t="str">
        <x:v>High</x:v>
      </x:c>
      <x:c r="F13" s="42" t="str">
        <x:v>APK установлен на устройстве</x:v>
      </x:c>
      <x:c r="G13" s="42" t="str">
        <x:v>-</x:v>
      </x:c>
      <x:c r="H13" s="42" t="str">
        <x:v>1. Найти приложение Skillcinema на устройстве
2. Нажать на иконку приложения</x:v>
      </x:c>
      <x:c r="I13" s="42" t="str">
        <x:v>Отображается splash-экран с логотипом приложения; нет графических артефактов; через несколько секунд происходит автоматический переход на главный экран</x:v>
      </x:c>
      <x:c r="J13" s="42" t="str"/>
      <x:c r="K13" s="42" t="str">
        <x:v>Passed</x:v>
      </x:c>
      <x:c r="L13" s="42" t="str"/>
      <x:c r="M13" s="51" t="str"/>
    </x:row>
    <x:row r="14">
      <x:c r="A14" s="50" t="str">
        <x:v>TC-UI-013</x:v>
      </x:c>
      <x:c r="B14" s="42" t="str">
        <x:v>Functional</x:v>
      </x:c>
      <x:c r="C14" s="42" t="str">
        <x:v>Открытие карточки фильма</x:v>
      </x:c>
      <x:c r="D14" s="42" t="str">
        <x:v>Навигация</x:v>
      </x:c>
      <x:c r="E14" s="42" t="str">
        <x:v>High</x:v>
      </x:c>
      <x:c r="F14" s="42" t="str">
        <x:v>Главный экран загружен</x:v>
      </x:c>
      <x:c r="G14" s="42" t="str">
        <x:v>Любой фильм из списка</x:v>
      </x:c>
      <x:c r="H14" s="42" t="str">
        <x:v>1. Запустить приложение
2. На главном экране выбрать любую карточку фильма
3. Нажать на карточку</x:v>
      </x:c>
      <x:c r="I14" s="42" t="str">
        <x:v>Открывается экран карточки фильма; отображаются постер, название, рейтинг, описание; данные соответствуют выбранному фильму</x:v>
      </x:c>
      <x:c r="J14" s="42" t="str"/>
      <x:c r="K14" s="42" t="str">
        <x:v>Passed</x:v>
      </x:c>
      <x:c r="L14" s="42" t="str"/>
      <x:c r="M14" s="51" t="str"/>
    </x:row>
    <x:row r="15">
      <x:c r="A15" s="50" t="str">
        <x:v>TC-UI-014</x:v>
      </x:c>
      <x:c r="B15" s="42" t="str">
        <x:v>Functional</x:v>
      </x:c>
      <x:c r="C15" s="42" t="str">
        <x:v>Возврат на главный экран</x:v>
      </x:c>
      <x:c r="D15" s="42" t="str">
        <x:v>Навигация</x:v>
      </x:c>
      <x:c r="E15" s="42" t="str">
        <x:v>High</x:v>
      </x:c>
      <x:c r="F15" s="42" t="str">
        <x:v>Открыта карточка фильма</x:v>
      </x:c>
      <x:c r="G15" s="42" t="str">
        <x:v>-</x:v>
      </x:c>
      <x:c r="H15" s="42" t="str">
        <x:v>1. Нажать кнопку 'Назад'</x:v>
      </x:c>
      <x:c r="I15" s="42" t="str">
        <x:v>Происходит возврат на главный экран; список фильмов отображается; позиция скролла сохраняется</x:v>
      </x:c>
      <x:c r="J15" s="42" t="str"/>
      <x:c r="K15" s="42" t="str">
        <x:v>Passed</x:v>
      </x:c>
      <x:c r="L15" s="42" t="str"/>
      <x:c r="M15" s="51" t="str"/>
    </x:row>
    <x:row r="16">
      <x:c r="A16" s="50" t="str">
        <x:v>TC-UI-015</x:v>
      </x:c>
      <x:c r="B16" s="42" t="str">
        <x:v>Functional</x:v>
      </x:c>
      <x:c r="C16" s="42" t="str">
        <x:v>Поиск фильма по названию</x:v>
      </x:c>
      <x:c r="D16" s="42" t="str">
        <x:v>Поиск</x:v>
      </x:c>
      <x:c r="E16" s="42" t="str">
        <x:v>High</x:v>
      </x:c>
      <x:c r="F16" s="42" t="str">
        <x:v>Приложение запущено</x:v>
      </x:c>
      <x:c r="G16" s="42" t="str">
        <x:v>Batman</x:v>
      </x:c>
      <x:c r="H16" s="42" t="str">
        <x:v>1. Открыть экран поиска
2. Нажать на поле ввода
3. Ввести 'Batman'
4. Нажать кнопку поиска на клавиатуре</x:v>
      </x:c>
      <x:c r="I16" s="42" t="str">
        <x:v>Отображается список результатов; в результатах присутствуют фильмы с введенным названием; отображаются постеры и названия</x:v>
      </x:c>
      <x:c r="J16" s="42" t="str"/>
      <x:c r="K16" s="42" t="str">
        <x:v>Passed</x:v>
      </x:c>
      <x:c r="L16" s="42" t="str"/>
      <x:c r="M16" s="51" t="str"/>
    </x:row>
    <x:row r="17">
      <x:c r="A17" s="50" t="str">
        <x:v>TC-UI-016</x:v>
      </x:c>
      <x:c r="B17" s="42" t="str">
        <x:v>Negative</x:v>
      </x:c>
      <x:c r="C17" s="42" t="str">
        <x:v>Поиск по несуществующему названию</x:v>
      </x:c>
      <x:c r="D17" s="42" t="str">
        <x:v>Поиск</x:v>
      </x:c>
      <x:c r="E17" s="42" t="str">
        <x:v>Medium</x:v>
      </x:c>
      <x:c r="F17" s="42" t="str">
        <x:v>Открыт экран поиска</x:v>
      </x:c>
      <x:c r="G17" s="42" t="str">
        <x:v>qwerty123</x:v>
      </x:c>
      <x:c r="H17" s="42" t="str">
        <x:v>1. Открыть поиск
2. Ввести 'qwerty123'
3. Выполнить поиск</x:v>
      </x:c>
      <x:c r="I17" s="42" t="str">
        <x:v>Отображается экран пустого результата; выводится сообщение о том, что ничего не найдено</x:v>
      </x:c>
      <x:c r="J17" s="42" t="str"/>
      <x:c r="K17" s="42" t="str">
        <x:v>Passed</x:v>
      </x:c>
      <x:c r="L17" s="42" t="str"/>
      <x:c r="M17" s="51" t="str"/>
    </x:row>
    <x:row r="18">
      <x:c r="A18" s="50" t="str">
        <x:v>TC-UI-017</x:v>
      </x:c>
      <x:c r="B18" s="42" t="str">
        <x:v>UI</x:v>
      </x:c>
      <x:c r="C18" s="42" t="str">
        <x:v>Скролл списка фильмов</x:v>
      </x:c>
      <x:c r="D18" s="42" t="str">
        <x:v>Главный экран</x:v>
      </x:c>
      <x:c r="E18" s="42" t="str">
        <x:v>High</x:v>
      </x:c>
      <x:c r="F18" s="42" t="str">
        <x:v>Главный экран открыт</x:v>
      </x:c>
      <x:c r="G18" s="42" t="str">
        <x:v>-</x:v>
      </x:c>
      <x:c r="H18" s="42" t="str">
        <x:v>1. Прокрутить список фильмов вниз
2. Продолжить прокрутку</x:v>
      </x:c>
      <x:c r="I18" s="42" t="str">
        <x:v>Список прокручивается плавно; подгружается дополнительный контент; отсутствуют зависания и визуальные дефекты</x:v>
      </x:c>
      <x:c r="J18" s="42" t="str"/>
      <x:c r="K18" s="42" t="str">
        <x:v>Passed</x:v>
      </x:c>
      <x:c r="L18" s="42" t="str"/>
      <x:c r="M18" s="51" t="str"/>
    </x:row>
    <x:row r="19">
      <x:c r="A19" s="50" t="str">
        <x:v>TC-UI-018</x:v>
      </x:c>
      <x:c r="B19" s="42" t="str">
        <x:v>Negative</x:v>
      </x:c>
      <x:c r="C19" s="42" t="str">
        <x:v>Работа приложения без интернета</x:v>
      </x:c>
      <x:c r="D19" s="42" t="str">
        <x:v>Сеть</x:v>
      </x:c>
      <x:c r="E19" s="42" t="str">
        <x:v>High</x:v>
      </x:c>
      <x:c r="F19" s="42" t="str">
        <x:v>Интернет отключен</x:v>
      </x:c>
      <x:c r="G19" s="42" t="str">
        <x:v>-</x:v>
      </x:c>
      <x:c r="H19" s="42" t="str">
        <x:v>1. Отключить интернет на устройстве
2. Запустить приложение</x:v>
      </x:c>
      <x:c r="I19" s="42" t="str">
        <x:v>Отображается сообщение об ошибке сети; приложение не закрывается аварийно</x:v>
      </x:c>
      <x:c r="J19" s="42" t="str"/>
      <x:c r="K19" s="42" t="str">
        <x:v>Passed</x:v>
      </x:c>
      <x:c r="L19" s="42" t="str"/>
      <x:c r="M19" s="51" t="str"/>
    </x:row>
    <x:row r="20">
      <x:c r="A20" s="50" t="str">
        <x:v>TC-UI-019</x:v>
      </x:c>
      <x:c r="B20" s="42" t="str">
        <x:v>UI</x:v>
      </x:c>
      <x:c r="C20" s="42" t="str">
        <x:v>Отображение loader при загрузке</x:v>
      </x:c>
      <x:c r="D20" s="42" t="str">
        <x:v>UI</x:v>
      </x:c>
      <x:c r="E20" s="42" t="str">
        <x:v>High</x:v>
      </x:c>
      <x:c r="F20" s="42" t="str">
        <x:v>Медленное интернет-соединение</x:v>
      </x:c>
      <x:c r="G20" s="42" t="str">
        <x:v>-</x:v>
      </x:c>
      <x:c r="H20" s="42" t="str">
        <x:v>1. Включить медленный интернет
2. Запустить приложение</x:v>
      </x:c>
      <x:c r="I20" s="42" t="str">
        <x:v>Отображается индикатор загрузки; после загрузки появляется главный экран</x:v>
      </x:c>
      <x:c r="J20" s="42" t="str"/>
      <x:c r="K20" s="42" t="str">
        <x:v>Passed</x:v>
      </x:c>
      <x:c r="L20" s="42" t="str"/>
      <x:c r="M20" s="51" t="str"/>
    </x:row>
    <x:row r="21">
      <x:c r="A21" s="50" t="str">
        <x:v>TC-UI-020</x:v>
      </x:c>
      <x:c r="B21" s="42" t="str">
        <x:v>UI</x:v>
      </x:c>
      <x:c r="C21" s="42" t="str">
        <x:v>Отображение placeholder при отсутствии изображения</x:v>
      </x:c>
      <x:c r="D21" s="42" t="str">
        <x:v>UI</x:v>
      </x:c>
      <x:c r="E21" s="42" t="str">
        <x:v>Medium</x:v>
      </x:c>
      <x:c r="F21" s="42" t="str">
        <x:v>Карточка фильма без постера</x:v>
      </x:c>
      <x:c r="G21" s="42" t="str">
        <x:v>-</x:v>
      </x:c>
      <x:c r="H21" s="42" t="str">
        <x:v>1. Открыть фильм без постера</x:v>
      </x:c>
      <x:c r="I21" s="42" t="str">
        <x:v>Вместо изображения отображается заглушка; верстка не нарушается</x:v>
      </x:c>
      <x:c r="J21" s="42" t="str"/>
      <x:c r="K21" s="42" t="str">
        <x:v>Passed</x:v>
      </x:c>
      <x:c r="L21" s="42" t="str"/>
      <x:c r="M21" s="51" t="str"/>
    </x:row>
    <x:row r="22">
      <x:c r="A22" s="50" t="str">
        <x:v>TC-UI-021</x:v>
      </x:c>
      <x:c r="B22" s="42" t="str">
        <x:v>UI</x:v>
      </x:c>
      <x:c r="C22" s="42" t="str">
        <x:v>Проверка длинных названий фильмов</x:v>
      </x:c>
      <x:c r="D22" s="42" t="str">
        <x:v>UI</x:v>
      </x:c>
      <x:c r="E22" s="42" t="str">
        <x:v>Medium</x:v>
      </x:c>
      <x:c r="F22" s="42" t="str">
        <x:v>Главный экран открыт</x:v>
      </x:c>
      <x:c r="G22" s="42" t="str">
        <x:v>Фильм с длинным названием</x:v>
      </x:c>
      <x:c r="H22" s="42" t="str">
        <x:v>1. Найти карточку фильма с длинным названием</x:v>
      </x:c>
      <x:c r="I22" s="42" t="str">
        <x:v>Название переносится на следующую строку; текст не обрезается; интерфейс не ломается</x:v>
      </x:c>
      <x:c r="J22" s="42" t="str"/>
      <x:c r="K22" s="42" t="str">
        <x:v>Passed</x:v>
      </x:c>
      <x:c r="L22" s="42" t="str"/>
      <x:c r="M22" s="51" t="str"/>
    </x:row>
    <x:row r="23">
      <x:c r="A23" s="50" t="str">
        <x:v>TC-UI-022</x:v>
      </x:c>
      <x:c r="B23" s="42" t="str">
        <x:v>Performance</x:v>
      </x:c>
      <x:c r="C23" s="42" t="str">
        <x:v>Скорость открытия карточки фильма</x:v>
      </x:c>
      <x:c r="D23" s="42" t="str">
        <x:v>Производительность</x:v>
      </x:c>
      <x:c r="E23" s="42" t="str">
        <x:v>Medium</x:v>
      </x:c>
      <x:c r="F23" s="42" t="str">
        <x:v>Главный экран открыт</x:v>
      </x:c>
      <x:c r="G23" s="42" t="str">
        <x:v>-</x:v>
      </x:c>
      <x:c r="H23" s="42" t="str">
        <x:v>1. Нажать на карточку фильма</x:v>
      </x:c>
      <x:c r="I23" s="42" t="str">
        <x:v>Карточка фильма открывается менее чем за 3 секунды</x:v>
      </x:c>
      <x:c r="J23" s="42" t="str"/>
      <x:c r="K23" s="42" t="str">
        <x:v>Passed</x:v>
      </x:c>
      <x:c r="L23" s="42" t="str"/>
      <x:c r="M23" s="51" t="str"/>
    </x:row>
    <x:row r="24">
      <x:c r="A24" s="50" t="str">
        <x:v>TC-UI-023</x:v>
      </x:c>
      <x:c r="B24" s="42" t="str">
        <x:v>Functional</x:v>
      </x:c>
      <x:c r="C24" s="42" t="str">
        <x:v>Повторное открытие приложения</x:v>
      </x:c>
      <x:c r="D24" s="42" t="str">
        <x:v>Главный экран</x:v>
      </x:c>
      <x:c r="E24" s="42" t="str">
        <x:v>Medium</x:v>
      </x:c>
      <x:c r="F24" s="42" t="str">
        <x:v>Приложение ранее запускалось</x:v>
      </x:c>
      <x:c r="G24" s="42" t="str">
        <x:v>-</x:v>
      </x:c>
      <x:c r="H24" s="42" t="str">
        <x:v>1. Закрыть приложение
2. Открыть его снова</x:v>
      </x:c>
      <x:c r="I24" s="42" t="str">
        <x:v>Контент отображается; данные актуальны; отсутствуют дубликаты карточек</x:v>
      </x:c>
      <x:c r="J24" s="42" t="str"/>
      <x:c r="K24" s="42" t="str">
        <x:v>Passed</x:v>
      </x:c>
      <x:c r="L24" s="42" t="str"/>
      <x:c r="M24" s="51" t="str"/>
    </x:row>
    <x:row r="25">
      <x:c r="A25" s="50" t="str">
        <x:v>TC-UI-024</x:v>
      </x:c>
      <x:c r="B25" s="42" t="str">
        <x:v>Functional</x:v>
      </x:c>
      <x:c r="C25" s="42" t="str">
        <x:v>Отображение онбординга при первом запуске приложения</x:v>
      </x:c>
      <x:c r="D25" s="42" t="str">
        <x:v>Onboarding</x:v>
      </x:c>
      <x:c r="E25" s="42" t="str">
        <x:v>High</x:v>
      </x:c>
      <x:c r="F25" s="42" t="str">
        <x:v>Приложение не запускалось ранее или данные приложения очищены</x:v>
      </x:c>
      <x:c r="G25" s="42" t="str">
        <x:v>Первый запуск приложения</x:v>
      </x:c>
      <x:c r="H25" s="42" t="str">
        <x:v>1. Удалить приложение
2. Установить приложение заново
3. Запустить приложение</x:v>
      </x:c>
      <x:c r="I25" s="42" t="str">
        <x:v>При первом запуске отображается экран онбординга с информацией о возможностях приложения</x:v>
      </x:c>
      <x:c r="J25" s="42" t="str">
        <x:v>Onboarding is not displayed; the main screen opens immediately.</x:v>
      </x:c>
      <x:c r="K25" s="42" t="str">
        <x:v>Failed</x:v>
      </x:c>
      <x:c r="L25" s="42" t="str">
        <x:v>SK-BUG-001</x:v>
      </x:c>
      <x:c r="M25" s="51" t="str">
        <x:v>Conflicts with passed onboarding checks in other source rows. Exact build/run must be confirmed.</x:v>
      </x:c>
    </x:row>
    <x:row r="26">
      <x:c r="A26" s="50" t="str">
        <x:v>TC-UI-025</x:v>
      </x:c>
      <x:c r="B26" s="42" t="str">
        <x:v>UI</x:v>
      </x:c>
      <x:c r="C26" s="42" t="str">
        <x:v>Поворот устройства</x:v>
      </x:c>
      <x:c r="D26" s="42" t="str">
        <x:v>UI</x:v>
      </x:c>
      <x:c r="E26" s="42" t="str">
        <x:v>Medium</x:v>
      </x:c>
      <x:c r="F26" s="42" t="str">
        <x:v>Приложение открыто</x:v>
      </x:c>
      <x:c r="G26" s="42" t="str">
        <x:v>-</x:v>
      </x:c>
      <x:c r="H26" s="42" t="str">
        <x:v>1. Повернуть устройство в горизонтальное положение</x:v>
      </x:c>
      <x:c r="I26" s="42" t="str">
        <x:v>Интерфейс адаптируется; элементы не накладываются друг на друга</x:v>
      </x:c>
      <x:c r="J26" s="42" t="str"/>
      <x:c r="K26" s="42" t="str">
        <x:v>Passed</x:v>
      </x:c>
      <x:c r="L26" s="42" t="str"/>
      <x:c r="M26" s="51" t="str"/>
    </x:row>
    <x:row r="27">
      <x:c r="A27" s="50" t="str">
        <x:v>TC-UI-026</x:v>
      </x:c>
      <x:c r="B27" s="42" t="str">
        <x:v>UI</x:v>
      </x:c>
      <x:c r="C27" s="42" t="str">
        <x:v>Отображение экранов онбординга</x:v>
      </x:c>
      <x:c r="D27" s="42" t="str">
        <x:v>Онбординг</x:v>
      </x:c>
      <x:c r="E27" s="42" t="str">
        <x:v>High</x:v>
      </x:c>
      <x:c r="F27" s="42" t="str">
        <x:v>Первый запуск приложения</x:v>
      </x:c>
      <x:c r="G27" s="42" t="str"/>
      <x:c r="H27" s="42" t="str">
        <x:v>1. Установить приложение
2. Запустить приложение</x:v>
      </x:c>
      <x:c r="I27" s="42" t="str">
        <x:v>Отображаются экраны онбординга; элементы соответствуют макетам; есть навигация между слайдами</x:v>
      </x:c>
      <x:c r="J27" s="42" t="str"/>
      <x:c r="K27" s="42" t="str">
        <x:v>Passed</x:v>
      </x:c>
      <x:c r="L27" s="42" t="str"/>
      <x:c r="M27" s="51" t="str">
        <x:v>Conflicts with TC-UI-024 from another source execution. Exact build/run must be confirmed.</x:v>
      </x:c>
    </x:row>
    <x:row r="28">
      <x:c r="A28" s="50" t="str">
        <x:v>TC-UI-027</x:v>
      </x:c>
      <x:c r="B28" s="42" t="str">
        <x:v>UI</x:v>
      </x:c>
      <x:c r="C28" s="42" t="str">
        <x:v>Загрузка главного экрана</x:v>
      </x:c>
      <x:c r="D28" s="42" t="str">
        <x:v>Главная</x:v>
      </x:c>
      <x:c r="E28" s="42" t="str">
        <x:v>High</x:v>
      </x:c>
      <x:c r="F28" s="42" t="str">
        <x:v>Приложение установлено</x:v>
      </x:c>
      <x:c r="G28" s="42" t="str"/>
      <x:c r="H28" s="42" t="str">
        <x:v>1. Запустить приложение
2. Дождаться загрузки данных</x:v>
      </x:c>
      <x:c r="I28" s="42" t="str">
        <x:v>Открывается вкладка Главная; отображаются подборки фильмов; появляется loader во время загрузки</x:v>
      </x:c>
      <x:c r="J28" s="42" t="str"/>
      <x:c r="K28" s="42" t="str">
        <x:v>Passed</x:v>
      </x:c>
      <x:c r="L28" s="42" t="str"/>
      <x:c r="M28" s="51" t="str"/>
    </x:row>
    <x:row r="29">
      <x:c r="A29" s="50" t="str">
        <x:v>TC-UI-028</x:v>
      </x:c>
      <x:c r="B29" s="42" t="str">
        <x:v>UI</x:v>
      </x:c>
      <x:c r="C29" s="42" t="str">
        <x:v>Отображение подборок</x:v>
      </x:c>
      <x:c r="D29" s="42" t="str">
        <x:v>Главная</x:v>
      </x:c>
      <x:c r="E29" s="42" t="str">
        <x:v>High</x:v>
      </x:c>
      <x:c r="F29" s="42" t="str">
        <x:v>Главная открыта</x:v>
      </x:c>
      <x:c r="G29" s="42" t="str"/>
      <x:c r="H29" s="42" t="str">
        <x:v>1. Проверить список подборок</x:v>
      </x:c>
      <x:c r="I29" s="42" t="str">
        <x:v>Отображаются: Премьеры, Популярное, Топ-250, Сериалы, динамические подборки</x:v>
      </x:c>
      <x:c r="J29" s="42" t="str"/>
      <x:c r="K29" s="42" t="str">
        <x:v>Passed</x:v>
      </x:c>
      <x:c r="L29" s="42" t="str"/>
      <x:c r="M29" s="51" t="str"/>
    </x:row>
    <x:row r="30">
      <x:c r="A30" s="50" t="str">
        <x:v>TC-UI-029</x:v>
      </x:c>
      <x:c r="B30" s="42" t="str">
        <x:v>Functional</x:v>
      </x:c>
      <x:c r="C30" s="42" t="str">
        <x:v>Открытие фильма из подборки</x:v>
      </x:c>
      <x:c r="D30" s="42" t="str">
        <x:v>Главная</x:v>
      </x:c>
      <x:c r="E30" s="42" t="str">
        <x:v>High</x:v>
      </x:c>
      <x:c r="F30" s="42" t="str">
        <x:v>Главная открыта</x:v>
      </x:c>
      <x:c r="G30" s="42" t="str"/>
      <x:c r="H30" s="42" t="str">
        <x:v>1. Нажать на карточку фильма</x:v>
      </x:c>
      <x:c r="I30" s="42" t="str">
        <x:v>Открывается экран фильма с подробной информацией</x:v>
      </x:c>
      <x:c r="J30" s="42" t="str"/>
      <x:c r="K30" s="42" t="str">
        <x:v>Passed</x:v>
      </x:c>
      <x:c r="L30" s="42" t="str"/>
      <x:c r="M30" s="51" t="str"/>
    </x:row>
    <x:row r="31">
      <x:c r="A31" s="50" t="str">
        <x:v>TC-UI-030</x:v>
      </x:c>
      <x:c r="B31" s="42" t="str">
        <x:v>UI</x:v>
      </x:c>
      <x:c r="C31" s="42" t="str">
        <x:v>Отображение карточки фильма</x:v>
      </x:c>
      <x:c r="D31" s="42" t="str">
        <x:v>Главная</x:v>
      </x:c>
      <x:c r="E31" s="42" t="str">
        <x:v>High</x:v>
      </x:c>
      <x:c r="F31" s="42" t="str">
        <x:v>Главная открыта</x:v>
      </x:c>
      <x:c r="G31" s="42" t="str"/>
      <x:c r="H31" s="42" t="str">
        <x:v>1. Рассмотреть карточку фильма</x:v>
      </x:c>
      <x:c r="I31" s="42" t="str">
        <x:v>Карточка содержит постер, название, жанр, рейтинг</x:v>
      </x:c>
      <x:c r="J31" s="42" t="str"/>
      <x:c r="K31" s="42" t="str">
        <x:v>Passed</x:v>
      </x:c>
      <x:c r="L31" s="42" t="str"/>
      <x:c r="M31" s="51" t="str"/>
    </x:row>
    <x:row r="32">
      <x:c r="A32" s="50" t="str">
        <x:v>TC-UI-031</x:v>
      </x:c>
      <x:c r="B32" s="42" t="str">
        <x:v>Negative</x:v>
      </x:c>
      <x:c r="C32" s="42" t="str">
        <x:v>Работа без интернета</x:v>
      </x:c>
      <x:c r="D32" s="42" t="str">
        <x:v>Главная</x:v>
      </x:c>
      <x:c r="E32" s="42" t="str">
        <x:v>High</x:v>
      </x:c>
      <x:c r="F32" s="42" t="str">
        <x:v>Интернет отключен</x:v>
      </x:c>
      <x:c r="G32" s="42" t="str"/>
      <x:c r="H32" s="42" t="str">
        <x:v>1. Запустить приложение</x:v>
      </x:c>
      <x:c r="I32" s="42" t="str">
        <x:v>Отображается сообщение об ошибке; нет технического текста</x:v>
      </x:c>
      <x:c r="J32" s="42" t="str"/>
      <x:c r="K32" s="42" t="str">
        <x:v>Passed</x:v>
      </x:c>
      <x:c r="L32" s="42" t="str"/>
      <x:c r="M32" s="51" t="str"/>
    </x:row>
    <x:row r="33">
      <x:c r="A33" s="50" t="str">
        <x:v>TC-UI-032</x:v>
      </x:c>
      <x:c r="B33" s="42" t="str">
        <x:v>UI</x:v>
      </x:c>
      <x:c r="C33" s="42" t="str">
        <x:v>Отображение информации о фильме</x:v>
      </x:c>
      <x:c r="D33" s="42" t="str">
        <x:v>Экран фильма</x:v>
      </x:c>
      <x:c r="E33" s="42" t="str">
        <x:v>High</x:v>
      </x:c>
      <x:c r="F33" s="42" t="str">
        <x:v>Открыта карточка фильма</x:v>
      </x:c>
      <x:c r="G33" s="42" t="str"/>
      <x:c r="H33" s="42" t="str">
        <x:v>1. Открыть фильм</x:v>
      </x:c>
      <x:c r="I33" s="42" t="str">
        <x:v>Отображается постер, название, рейтинг, описание</x:v>
      </x:c>
      <x:c r="J33" s="42" t="str"/>
      <x:c r="K33" s="42" t="str">
        <x:v>Passed</x:v>
      </x:c>
      <x:c r="L33" s="42" t="str"/>
      <x:c r="M33" s="51" t="str"/>
    </x:row>
    <x:row r="34">
      <x:c r="A34" s="50" t="str">
        <x:v>TC-UI-033</x:v>
      </x:c>
      <x:c r="B34" s="42" t="str">
        <x:v>Functional</x:v>
      </x:c>
      <x:c r="C34" s="42" t="str">
        <x:v>Добавление в 'Любимые'</x:v>
      </x:c>
      <x:c r="D34" s="42" t="str">
        <x:v>Экран фильма</x:v>
      </x:c>
      <x:c r="E34" s="42" t="str">
        <x:v>High</x:v>
      </x:c>
      <x:c r="F34" s="42" t="str">
        <x:v>Открыт фильм</x:v>
      </x:c>
      <x:c r="G34" s="42" t="str"/>
      <x:c r="H34" s="42" t="str">
        <x:v>1. Нажать 'Добавить в Любимые'</x:v>
      </x:c>
      <x:c r="I34" s="42" t="str">
        <x:v>Фильм добавлен; кнопка отмечена</x:v>
      </x:c>
      <x:c r="J34" s="42" t="str"/>
      <x:c r="K34" s="42" t="str">
        <x:v>Passed</x:v>
      </x:c>
      <x:c r="L34" s="42" t="str"/>
      <x:c r="M34" s="51" t="str"/>
    </x:row>
    <x:row r="35">
      <x:c r="A35" s="50" t="str">
        <x:v>TC-UI-034</x:v>
      </x:c>
      <x:c r="B35" s="42" t="str">
        <x:v>Functional</x:v>
      </x:c>
      <x:c r="C35" s="42" t="str">
        <x:v>Отметка 'Уже просмотрено'</x:v>
      </x:c>
      <x:c r="D35" s="42" t="str">
        <x:v>Экран фильма</x:v>
      </x:c>
      <x:c r="E35" s="42" t="str">
        <x:v>High</x:v>
      </x:c>
      <x:c r="F35" s="42" t="str">
        <x:v>Открыт фильм</x:v>
      </x:c>
      <x:c r="G35" s="42" t="str"/>
      <x:c r="H35" s="42" t="str">
        <x:v>1. Нажать 'Уже просмотрено'</x:v>
      </x:c>
      <x:c r="I35" s="42" t="str">
        <x:v>Фильм помечается как просмотренный</x:v>
      </x:c>
      <x:c r="J35" s="42" t="str"/>
      <x:c r="K35" s="42" t="str">
        <x:v>Passed</x:v>
      </x:c>
      <x:c r="L35" s="42" t="str"/>
      <x:c r="M35" s="51" t="str"/>
    </x:row>
    <x:row r="36">
      <x:c r="A36" s="50" t="str">
        <x:v>TC-UI-035</x:v>
      </x:c>
      <x:c r="B36" s="42" t="str">
        <x:v>UI</x:v>
      </x:c>
      <x:c r="C36" s="42" t="str">
        <x:v>Отображение галереи</x:v>
      </x:c>
      <x:c r="D36" s="42" t="str">
        <x:v>Экран фильма</x:v>
      </x:c>
      <x:c r="E36" s="42" t="str">
        <x:v>Medium</x:v>
      </x:c>
      <x:c r="F36" s="42" t="str">
        <x:v>Открыт фильм</x:v>
      </x:c>
      <x:c r="G36" s="42" t="str"/>
      <x:c r="H36" s="42" t="str">
        <x:v>1. Прокрутить до блока галереи</x:v>
      </x:c>
      <x:c r="I36" s="42" t="str">
        <x:v>Отображается список изображений</x:v>
      </x:c>
      <x:c r="J36" s="42" t="str"/>
      <x:c r="K36" s="42" t="str">
        <x:v>Passed</x:v>
      </x:c>
      <x:c r="L36" s="42" t="str"/>
      <x:c r="M36" s="51" t="str"/>
    </x:row>
    <x:row r="37">
      <x:c r="A37" s="50" t="str">
        <x:v>TC-UI-036</x:v>
      </x:c>
      <x:c r="B37" s="42" t="str">
        <x:v>Functional</x:v>
      </x:c>
      <x:c r="C37" s="42" t="str">
        <x:v>Поиск по тексту</x:v>
      </x:c>
      <x:c r="D37" s="42" t="str">
        <x:v>Поиск</x:v>
      </x:c>
      <x:c r="E37" s="42" t="str">
        <x:v>High</x:v>
      </x:c>
      <x:c r="F37" s="42" t="str">
        <x:v>Экран поиска открыт</x:v>
      </x:c>
      <x:c r="G37" s="42" t="str"/>
      <x:c r="H37" s="42" t="str">
        <x:v>1. Ввести 'Batman'</x:v>
      </x:c>
      <x:c r="I37" s="42" t="str">
        <x:v>Отображаются результаты поиска</x:v>
      </x:c>
      <x:c r="J37" s="42" t="str"/>
      <x:c r="K37" s="42" t="str">
        <x:v>Passed</x:v>
      </x:c>
      <x:c r="L37" s="42" t="str"/>
      <x:c r="M37" s="51" t="str"/>
    </x:row>
    <x:row r="38">
      <x:c r="A38" s="50" t="str">
        <x:v>TC-UI-037</x:v>
      </x:c>
      <x:c r="B38" s="42" t="str">
        <x:v>UI</x:v>
      </x:c>
      <x:c r="C38" s="42" t="str">
        <x:v>Открытие настроек поиска</x:v>
      </x:c>
      <x:c r="D38" s="42" t="str">
        <x:v>Поиск</x:v>
      </x:c>
      <x:c r="E38" s="42" t="str">
        <x:v>Medium</x:v>
      </x:c>
      <x:c r="F38" s="42" t="str">
        <x:v>Экран поиска открыт</x:v>
      </x:c>
      <x:c r="G38" s="42" t="str"/>
      <x:c r="H38" s="42" t="str">
        <x:v>1. Нажать настройки</x:v>
      </x:c>
      <x:c r="I38" s="42" t="str">
        <x:v>Открывается экран фильтров</x:v>
      </x:c>
      <x:c r="J38" s="42" t="str"/>
      <x:c r="K38" s="42" t="str">
        <x:v>Passed</x:v>
      </x:c>
      <x:c r="L38" s="42" t="str"/>
      <x:c r="M38" s="51" t="str"/>
    </x:row>
    <x:row r="39">
      <x:c r="A39" s="50" t="str">
        <x:v>TC-UI-038</x:v>
      </x:c>
      <x:c r="B39" s="42" t="str">
        <x:v>Negative</x:v>
      </x:c>
      <x:c r="C39" s="42" t="str">
        <x:v>Поиск без результатов</x:v>
      </x:c>
      <x:c r="D39" s="42" t="str">
        <x:v>Поиск</x:v>
      </x:c>
      <x:c r="E39" s="42" t="str">
        <x:v>Medium</x:v>
      </x:c>
      <x:c r="F39" s="42" t="str">
        <x:v>Экран поиска открыт</x:v>
      </x:c>
      <x:c r="G39" s="42" t="str"/>
      <x:c r="H39" s="42" t="str">
        <x:v>1. Ввести случайный текст</x:v>
      </x:c>
      <x:c r="I39" s="42" t="str">
        <x:v>Отображается сообщение об отсутствии результатов</x:v>
      </x:c>
      <x:c r="J39" s="42" t="str"/>
      <x:c r="K39" s="42" t="str">
        <x:v>Passed</x:v>
      </x:c>
      <x:c r="L39" s="42" t="str"/>
      <x:c r="M39" s="51" t="str"/>
    </x:row>
    <x:row r="40">
      <x:c r="A40" s="50" t="str">
        <x:v>TC-UI-039</x:v>
      </x:c>
      <x:c r="B40" s="42" t="str">
        <x:v>UI</x:v>
      </x:c>
      <x:c r="C40" s="42" t="str">
        <x:v>Открытие профиля</x:v>
      </x:c>
      <x:c r="D40" s="42" t="str">
        <x:v>Профиль</x:v>
      </x:c>
      <x:c r="E40" s="42" t="str">
        <x:v>High</x:v>
      </x:c>
      <x:c r="F40" s="42" t="str">
        <x:v>Приложение открыто</x:v>
      </x:c>
      <x:c r="G40" s="42" t="str"/>
      <x:c r="H40" s="42" t="str">
        <x:v>1. Перейти во вкладку Профиль</x:v>
      </x:c>
      <x:c r="I40" s="42" t="str">
        <x:v>Отображаются коллекции, просмотренные фильмы</x:v>
      </x:c>
      <x:c r="J40" s="42" t="str"/>
      <x:c r="K40" s="42" t="str">
        <x:v>Passed</x:v>
      </x:c>
      <x:c r="L40" s="42" t="str"/>
      <x:c r="M40" s="51" t="str"/>
    </x:row>
    <x:row r="41">
      <x:c r="A41" s="50" t="str">
        <x:v>TC-UI-040</x:v>
      </x:c>
      <x:c r="B41" s="42" t="str">
        <x:v>Functional</x:v>
      </x:c>
      <x:c r="C41" s="42" t="str">
        <x:v>Создание новой коллекции</x:v>
      </x:c>
      <x:c r="D41" s="42" t="str">
        <x:v>Профиль</x:v>
      </x:c>
      <x:c r="E41" s="42" t="str">
        <x:v>Medium</x:v>
      </x:c>
      <x:c r="F41" s="42" t="str">
        <x:v>Профиль открыт</x:v>
      </x:c>
      <x:c r="G41" s="42" t="str"/>
      <x:c r="H41" s="42" t="str">
        <x:v>1. Нажать 'Создать коллекцию'
2. Ввести название</x:v>
      </x:c>
      <x:c r="I41" s="42" t="str">
        <x:v>Коллекция создаётся и отображается</x:v>
      </x:c>
      <x:c r="J41" s="42" t="str"/>
      <x:c r="K41" s="42" t="str">
        <x:v>Passed</x:v>
      </x:c>
      <x:c r="L41" s="42" t="str"/>
      <x:c r="M41" s="51" t="str"/>
    </x:row>
    <x:row r="42">
      <x:c r="A42" s="50" t="str">
        <x:v>TC-UI-041</x:v>
      </x:c>
      <x:c r="B42" s="42" t="str">
        <x:v>Functional</x:v>
      </x:c>
      <x:c r="C42" s="42" t="str">
        <x:v>Удаление пользовательской коллекции</x:v>
      </x:c>
      <x:c r="D42" s="42" t="str">
        <x:v>Профиль</x:v>
      </x:c>
      <x:c r="E42" s="42" t="str">
        <x:v>Medium</x:v>
      </x:c>
      <x:c r="F42" s="42" t="str">
        <x:v>Есть пользовательская коллекция</x:v>
      </x:c>
      <x:c r="G42" s="42" t="str"/>
      <x:c r="H42" s="42" t="str">
        <x:v>1. Нажать удалить</x:v>
      </x:c>
      <x:c r="I42" s="42" t="str">
        <x:v>Коллекция удаляется</x:v>
      </x:c>
      <x:c r="J42" s="42" t="str"/>
      <x:c r="K42" s="42" t="str">
        <x:v>Passed</x:v>
      </x:c>
      <x:c r="L42" s="42" t="str"/>
      <x:c r="M42" s="51" t="str"/>
    </x:row>
    <x:row r="43">
      <x:c r="A43" s="50" t="str">
        <x:v>TC-UI-042</x:v>
      </x:c>
      <x:c r="B43" s="42" t="str">
        <x:v>Functional</x:v>
      </x:c>
      <x:c r="C43" s="42" t="str">
        <x:v>Проверка количества API запросов при вводе текста в поиске</x:v>
      </x:c>
      <x:c r="D43" s="42" t="str">
        <x:v>Search</x:v>
      </x:c>
      <x:c r="E43" s="42" t="str">
        <x:v>Medium</x:v>
      </x:c>
      <x:c r="F43" s="42" t="str">
        <x:v>Приложение запущено, открыт Network Inspector</x:v>
      </x:c>
      <x:c r="G43" s="42" t="str">
        <x:v>Поисковый запрос 'игра'</x:v>
      </x:c>
      <x:c r="H43" s="42" t="str">
        <x:v>1. Открыть вкладку Search
2. Начать вводить слово 'игра' по одной букве
3. Наблюдать сетевые запросы в Network Inspector</x:v>
      </x:c>
      <x:c r="I43" s="42" t="str">
        <x:v>API запрос отправляется после завершения ввода текста или после паузы (debounce)</x:v>
      </x:c>
      <x:c r="J43" s="42" t="str">
        <x:v>An API request is sent for every entered character.</x:v>
      </x:c>
      <x:c r="K43" s="42" t="str">
        <x:v>Failed</x:v>
      </x:c>
      <x:c r="L43" s="42" t="str">
        <x:v>SK-BUG-002</x:v>
      </x:c>
      <x:c r="M43" s="51" t="str"/>
    </x:row>
    <x:row r="44">
      <x:c r="A44" s="50" t="str">
        <x:v>TC-UI-043</x:v>
      </x:c>
      <x:c r="B44" s="42" t="str">
        <x:v>UI</x:v>
      </x:c>
      <x:c r="C44" s="42" t="str">
        <x:v>Отображение экранов онбординга при первом запуске</x:v>
      </x:c>
      <x:c r="D44" s="42" t="str">
        <x:v>Онбординг</x:v>
      </x:c>
      <x:c r="E44" s="42" t="str">
        <x:v>High</x:v>
      </x:c>
      <x:c r="F44" s="42" t="str">
        <x:v>Приложение установлено впервые</x:v>
      </x:c>
      <x:c r="G44" s="42" t="str"/>
      <x:c r="H44" s="42" t="str">
        <x:v>1. Запустить приложение
2. Дождаться появления первого экрана</x:v>
      </x:c>
      <x:c r="I44" s="42" t="str">
        <x:v>Отображается экран онбординга; присутствуют иллюстрация и текст; есть кнопка перехода далее; элементы соответствуют макету</x:v>
      </x:c>
      <x:c r="J44" s="42" t="str"/>
      <x:c r="K44" s="42" t="str">
        <x:v>Passed</x:v>
      </x:c>
      <x:c r="L44" s="42" t="str"/>
      <x:c r="M44" s="51" t="str">
        <x:v>Conflicts with TC-UI-024 from another source execution. Exact build/run must be confirmed.</x:v>
      </x:c>
    </x:row>
    <x:row r="45">
      <x:c r="A45" s="50" t="str">
        <x:v>TC-UI-044</x:v>
      </x:c>
      <x:c r="B45" s="42" t="str">
        <x:v>UI</x:v>
      </x:c>
      <x:c r="C45" s="42" t="str">
        <x:v>Переключение экранов онбординга свайпом</x:v>
      </x:c>
      <x:c r="D45" s="42" t="str">
        <x:v>Онбординг</x:v>
      </x:c>
      <x:c r="E45" s="42" t="str">
        <x:v>Medium</x:v>
      </x:c>
      <x:c r="F45" s="42" t="str">
        <x:v>Открыт первый экран онбординга</x:v>
      </x:c>
      <x:c r="G45" s="42" t="str"/>
      <x:c r="H45" s="42" t="str">
        <x:v>1. Выполнить свайп влево
2. Перейти на следующий экран</x:v>
      </x:c>
      <x:c r="I45" s="42" t="str">
        <x:v>Открывается следующий экран; анимация плавная; текст и иллюстрации отображаются полностью</x:v>
      </x:c>
      <x:c r="J45" s="42" t="str"/>
      <x:c r="K45" s="42" t="str">
        <x:v>Passed</x:v>
      </x:c>
      <x:c r="L45" s="42" t="str"/>
      <x:c r="M45" s="51" t="str"/>
    </x:row>
    <x:row r="46">
      <x:c r="A46" s="50" t="str">
        <x:v>TC-UI-045</x:v>
      </x:c>
      <x:c r="B46" s="42" t="str">
        <x:v>UI</x:v>
      </x:c>
      <x:c r="C46" s="42" t="str">
        <x:v>Загрузка вкладки Главная после запуска</x:v>
      </x:c>
      <x:c r="D46" s="42" t="str">
        <x:v>Главная</x:v>
      </x:c>
      <x:c r="E46" s="42" t="str">
        <x:v>High</x:v>
      </x:c>
      <x:c r="F46" s="42" t="str">
        <x:v>Интернет включён</x:v>
      </x:c>
      <x:c r="G46" s="42" t="str"/>
      <x:c r="H46" s="42" t="str">
        <x:v>1. Запустить приложение
2. Дождаться загрузки данных
3. Дождаться исчезновения индикатора загрузки</x:v>
      </x:c>
      <x:c r="I46" s="42" t="str">
        <x:v>Отображается вкладка Главная; присутствуют подборки фильмов; loader отображается во время загрузки и исчезает после получения данных</x:v>
      </x:c>
      <x:c r="J46" s="42" t="str"/>
      <x:c r="K46" s="42" t="str">
        <x:v>Passed</x:v>
      </x:c>
      <x:c r="L46" s="42" t="str"/>
      <x:c r="M46" s="51" t="str"/>
    </x:row>
    <x:row r="47">
      <x:c r="A47" s="50" t="str">
        <x:v>TC-UI-046</x:v>
      </x:c>
      <x:c r="B47" s="42" t="str">
        <x:v>UI</x:v>
      </x:c>
      <x:c r="C47" s="42" t="str">
        <x:v>Отображение подборки «Премьеры»</x:v>
      </x:c>
      <x:c r="D47" s="42" t="str">
        <x:v>Главная</x:v>
      </x:c>
      <x:c r="E47" s="42" t="str">
        <x:v>High</x:v>
      </x:c>
      <x:c r="F47" s="42" t="str">
        <x:v>Открыта вкладка Главная</x:v>
      </x:c>
      <x:c r="G47" s="42" t="str"/>
      <x:c r="H47" s="42" t="str">
        <x:v>1. Прокрутить экран вниз
2. Найти блок «Премьеры»</x:v>
      </x:c>
      <x:c r="I47" s="42" t="str">
        <x:v>Отображается заголовок «Премьеры»; под ним горизонтальный список карточек фильмов; каждая карточка содержит постер, название, жанр и рейтинг</x:v>
      </x:c>
      <x:c r="J47" s="42" t="str"/>
      <x:c r="K47" s="42" t="str">
        <x:v>Passed</x:v>
      </x:c>
      <x:c r="L47" s="42" t="str"/>
      <x:c r="M47" s="51" t="str"/>
    </x:row>
    <x:row r="48">
      <x:c r="A48" s="50" t="str">
        <x:v>TC-UI-047</x:v>
      </x:c>
      <x:c r="B48" s="42" t="str">
        <x:v>UI</x:v>
      </x:c>
      <x:c r="C48" s="42" t="str">
        <x:v>Ограничение количества фильмов в подборке</x:v>
      </x:c>
      <x:c r="D48" s="42" t="str">
        <x:v>Главная</x:v>
      </x:c>
      <x:c r="E48" s="42" t="str">
        <x:v>High</x:v>
      </x:c>
      <x:c r="F48" s="42" t="str">
        <x:v>Открыта вкладка Главная</x:v>
      </x:c>
      <x:c r="G48" s="42" t="str"/>
      <x:c r="H48" s="42" t="str">
        <x:v>1. Найти любую подборку
2. Подсчитать количество отображаемых карточек</x:v>
      </x:c>
      <x:c r="I48" s="42" t="str">
        <x:v>Отображается не более 20 карточек; если фильмов больше — справа от заголовка присутствует кнопка «Все»</x:v>
      </x:c>
      <x:c r="J48" s="42" t="str"/>
      <x:c r="K48" s="42" t="str">
        <x:v>Passed</x:v>
      </x:c>
      <x:c r="L48" s="42" t="str"/>
      <x:c r="M48" s="51" t="str"/>
    </x:row>
    <x:row r="49">
      <x:c r="A49" s="50" t="str">
        <x:v>TC-UI-048</x:v>
      </x:c>
      <x:c r="B49" s="42" t="str">
        <x:v>Functional</x:v>
      </x:c>
      <x:c r="C49" s="42" t="str">
        <x:v>Переход в полный список подборки</x:v>
      </x:c>
      <x:c r="D49" s="42" t="str">
        <x:v>Главная</x:v>
      </x:c>
      <x:c r="E49" s="42" t="str">
        <x:v>High</x:v>
      </x:c>
      <x:c r="F49" s="42" t="str">
        <x:v>В подборке отображается кнопка «Все»</x:v>
      </x:c>
      <x:c r="G49" s="42" t="str"/>
      <x:c r="H49" s="42" t="str">
        <x:v>1. Нажать кнопку «Все»</x:v>
      </x:c>
      <x:c r="I49" s="42" t="str">
        <x:v>Открывается экран с полным списком фильмов данной подборки; список вертикальный; отображаются постеры, названия и рейтинги</x:v>
      </x:c>
      <x:c r="J49" s="42" t="str"/>
      <x:c r="K49" s="42" t="str">
        <x:v>Passed</x:v>
      </x:c>
      <x:c r="L49" s="42" t="str"/>
      <x:c r="M49" s="51" t="str"/>
    </x:row>
    <x:row r="50">
      <x:c r="A50" s="50" t="str">
        <x:v>TC-UI-049</x:v>
      </x:c>
      <x:c r="B50" s="42" t="str">
        <x:v>Functional</x:v>
      </x:c>
      <x:c r="C50" s="42" t="str">
        <x:v>Открытие карточки фильма из подборки</x:v>
      </x:c>
      <x:c r="D50" s="42" t="str">
        <x:v>Главная</x:v>
      </x:c>
      <x:c r="E50" s="42" t="str">
        <x:v>High</x:v>
      </x:c>
      <x:c r="F50" s="42" t="str">
        <x:v>Открыта вкладка Главная</x:v>
      </x:c>
      <x:c r="G50" s="42" t="str"/>
      <x:c r="H50" s="42" t="str">
        <x:v>1. Найти любую карточку фильма
2. Нажать на карточку</x:v>
      </x:c>
      <x:c r="I50" s="42" t="str">
        <x:v>Открывается экран фильма; отображаются постер, название, рейтинг и описание выбранного фильма</x:v>
      </x:c>
      <x:c r="J50" s="42" t="str"/>
      <x:c r="K50" s="42" t="str">
        <x:v>Passed</x:v>
      </x:c>
      <x:c r="L50" s="42" t="str"/>
      <x:c r="M50" s="51" t="str"/>
    </x:row>
    <x:row r="51">
      <x:c r="A51" s="50" t="str">
        <x:v>TC-UI-050</x:v>
      </x:c>
      <x:c r="B51" s="42" t="str">
        <x:v>UI</x:v>
      </x:c>
      <x:c r="C51" s="42" t="str">
        <x:v>Отображение статуса просмотренного фильма</x:v>
      </x:c>
      <x:c r="D51" s="42" t="str">
        <x:v>Главная</x:v>
      </x:c>
      <x:c r="E51" s="42" t="str">
        <x:v>Medium</x:v>
      </x:c>
      <x:c r="F51" s="42" t="str">
        <x:v>Фильм ранее отмечен как просмотренный</x:v>
      </x:c>
      <x:c r="G51" s="42" t="str"/>
      <x:c r="H51" s="42" t="str">
        <x:v>1. Открыть вкладку Главная
2. Найти данный фильм в подборке</x:v>
      </x:c>
      <x:c r="I51" s="42" t="str">
        <x:v>На карточке фильма отображается индикатор просмотра; карточка визуально отличается от непросмотренных</x:v>
      </x:c>
      <x:c r="J51" s="42" t="str"/>
      <x:c r="K51" s="42" t="str">
        <x:v>Passed</x:v>
      </x:c>
      <x:c r="L51" s="42" t="str"/>
      <x:c r="M51" s="51" t="str"/>
    </x:row>
    <x:row r="52">
      <x:c r="A52" s="50" t="str">
        <x:v>TC-UI-051</x:v>
      </x:c>
      <x:c r="B52" s="42" t="str">
        <x:v>UI</x:v>
      </x:c>
      <x:c r="C52" s="42" t="str">
        <x:v>Отображение основной информации о фильме</x:v>
      </x:c>
      <x:c r="D52" s="42" t="str">
        <x:v>Экран фильма</x:v>
      </x:c>
      <x:c r="E52" s="42" t="str">
        <x:v>High</x:v>
      </x:c>
      <x:c r="F52" s="42" t="str">
        <x:v>Открыт экран фильма</x:v>
      </x:c>
      <x:c r="G52" s="42" t="str"/>
      <x:c r="H52" s="42" t="str">
        <x:v>1. Проверить верхнюю часть экрана</x:v>
      </x:c>
      <x:c r="I52" s="42" t="str">
        <x:v>Отображается постер; название на русском; рейтинг; альтернативное название (если есть); данные читаемы и не перекрываются</x:v>
      </x:c>
      <x:c r="J52" s="42" t="str"/>
      <x:c r="K52" s="42" t="str">
        <x:v>Passed</x:v>
      </x:c>
      <x:c r="L52" s="42" t="str"/>
      <x:c r="M52" s="51" t="str"/>
    </x:row>
    <x:row r="53">
      <x:c r="A53" s="50" t="str">
        <x:v>TC-UI-052</x:v>
      </x:c>
      <x:c r="B53" s="42" t="str">
        <x:v>Functional</x:v>
      </x:c>
      <x:c r="C53" s="42" t="str">
        <x:v>Добавление фильма в «Любимые»</x:v>
      </x:c>
      <x:c r="D53" s="42" t="str">
        <x:v>Экран фильма</x:v>
      </x:c>
      <x:c r="E53" s="42" t="str">
        <x:v>High</x:v>
      </x:c>
      <x:c r="F53" s="42" t="str">
        <x:v>Открыт экран фильма</x:v>
      </x:c>
      <x:c r="G53" s="42" t="str"/>
      <x:c r="H53" s="42" t="str">
        <x:v>1. Нажать кнопку «Любимые»</x:v>
      </x:c>
      <x:c r="I53" s="42" t="str">
        <x:v>Кнопка переходит в активное состояние; фильм добавлен в список «Любимые»; повторное нажатие удаляет фильм</x:v>
      </x:c>
      <x:c r="J53" s="42" t="str"/>
      <x:c r="K53" s="42" t="str">
        <x:v>Passed</x:v>
      </x:c>
      <x:c r="L53" s="42" t="str"/>
      <x:c r="M53" s="51" t="str"/>
    </x:row>
    <x:row r="54">
      <x:c r="A54" s="50" t="str">
        <x:v>TC-UI-053</x:v>
      </x:c>
      <x:c r="B54" s="42" t="str">
        <x:v>Functional</x:v>
      </x:c>
      <x:c r="C54" s="42" t="str">
        <x:v>Добавление фильма в «Хочу посмотреть»</x:v>
      </x:c>
      <x:c r="D54" s="42" t="str">
        <x:v>Экран фильма</x:v>
      </x:c>
      <x:c r="E54" s="42" t="str">
        <x:v>High</x:v>
      </x:c>
      <x:c r="F54" s="42" t="str">
        <x:v>Открыт экран фильма</x:v>
      </x:c>
      <x:c r="G54" s="42" t="str"/>
      <x:c r="H54" s="42" t="str">
        <x:v>1. Нажать кнопку «Хочу посмотреть»</x:v>
      </x:c>
      <x:c r="I54" s="42" t="str">
        <x:v>Фильм добавлен в список; кнопка отображается активной</x:v>
      </x:c>
      <x:c r="J54" s="42" t="str"/>
      <x:c r="K54" s="42" t="str">
        <x:v>Passed</x:v>
      </x:c>
      <x:c r="L54" s="42" t="str"/>
      <x:c r="M54" s="51" t="str"/>
    </x:row>
    <x:row r="55">
      <x:c r="A55" s="50" t="str">
        <x:v>TC-UI-054</x:v>
      </x:c>
      <x:c r="B55" s="42" t="str">
        <x:v>Functional</x:v>
      </x:c>
      <x:c r="C55" s="42" t="str">
        <x:v>Отметка «Уже просмотрено»</x:v>
      </x:c>
      <x:c r="D55" s="42" t="str">
        <x:v>Экран фильма</x:v>
      </x:c>
      <x:c r="E55" s="42" t="str">
        <x:v>High</x:v>
      </x:c>
      <x:c r="F55" s="42" t="str">
        <x:v>Открыт экран фильма</x:v>
      </x:c>
      <x:c r="G55" s="42" t="str"/>
      <x:c r="H55" s="42" t="str">
        <x:v>1. Нажать кнопку «Уже просмотрено»</x:v>
      </x:c>
      <x:c r="I55" s="42" t="str">
        <x:v>Фильм помечается как просмотренный; при возврате на Главную появляется индикатор просмотра</x:v>
      </x:c>
      <x:c r="J55" s="42" t="str"/>
      <x:c r="K55" s="42" t="str">
        <x:v>Passed</x:v>
      </x:c>
      <x:c r="L55" s="42" t="str"/>
      <x:c r="M55" s="51" t="str"/>
    </x:row>
    <x:row r="56">
      <x:c r="A56" s="50" t="str">
        <x:v>TC-UI-055</x:v>
      </x:c>
      <x:c r="B56" s="42" t="str">
        <x:v>UI</x:v>
      </x:c>
      <x:c r="C56" s="42" t="str">
        <x:v>Открытие галереи изображений</x:v>
      </x:c>
      <x:c r="D56" s="42" t="str">
        <x:v>Экран фильма</x:v>
      </x:c>
      <x:c r="E56" s="42" t="str">
        <x:v>Medium</x:v>
      </x:c>
      <x:c r="F56" s="42" t="str">
        <x:v>Открыт экран фильма</x:v>
      </x:c>
      <x:c r="G56" s="42" t="str"/>
      <x:c r="H56" s="42" t="str">
        <x:v>1. Прокрутить экран до блока «Галерея»
2. Нажать на изображение</x:v>
      </x:c>
      <x:c r="I56" s="42" t="str">
        <x:v>Изображение открывается на полный экран; доступна прокрутка изображений</x:v>
      </x:c>
      <x:c r="J56" s="42" t="str"/>
      <x:c r="K56" s="42" t="str">
        <x:v>Passed</x:v>
      </x:c>
      <x:c r="L56" s="42" t="str"/>
      <x:c r="M56" s="51" t="str"/>
    </x:row>
    <x:row r="57">
      <x:c r="A57" s="50" t="str">
        <x:v>TC-UI-056</x:v>
      </x:c>
      <x:c r="B57" s="42" t="str">
        <x:v>Functional</x:v>
      </x:c>
      <x:c r="C57" s="42" t="str">
        <x:v>Переход на экран актёра</x:v>
      </x:c>
      <x:c r="D57" s="42" t="str">
        <x:v>Экран фильма</x:v>
      </x:c>
      <x:c r="E57" s="42" t="str">
        <x:v>Medium</x:v>
      </x:c>
      <x:c r="F57" s="42" t="str">
        <x:v>Открыт экран фильма</x:v>
      </x:c>
      <x:c r="G57" s="42" t="str"/>
      <x:c r="H57" s="42" t="str">
        <x:v>1. Прокрутить до блока «В фильме снимались»
2. Нажать на актёра</x:v>
      </x:c>
      <x:c r="I57" s="42" t="str">
        <x:v>Открывается экран актёра; отображается фото, имя и список фильмов</x:v>
      </x:c>
      <x:c r="J57" s="42" t="str"/>
      <x:c r="K57" s="42" t="str">
        <x:v>Passed</x:v>
      </x:c>
      <x:c r="L57" s="42" t="str"/>
      <x:c r="M57" s="51" t="str"/>
    </x:row>
    <x:row r="58">
      <x:c r="A58" s="50" t="str">
        <x:v>TC-UI-057</x:v>
      </x:c>
      <x:c r="B58" s="42" t="str">
        <x:v>Functional</x:v>
      </x:c>
      <x:c r="C58" s="42" t="str">
        <x:v>Автоматический поиск по введённому тексту</x:v>
      </x:c>
      <x:c r="D58" s="42" t="str">
        <x:v>Поиск</x:v>
      </x:c>
      <x:c r="E58" s="42" t="str">
        <x:v>High</x:v>
      </x:c>
      <x:c r="F58" s="42" t="str">
        <x:v>Открыта вкладка Поиск</x:v>
      </x:c>
      <x:c r="G58" s="42" t="str"/>
      <x:c r="H58" s="42" t="str">
        <x:v>1. Нажать в строку поиска
2. Ввести 'Batman'</x:v>
      </x:c>
      <x:c r="I58" s="42" t="str">
        <x:v>Результаты появляются автоматически; отображаются карточки фильмов с постерами и названиями</x:v>
      </x:c>
      <x:c r="J58" s="42" t="str"/>
      <x:c r="K58" s="42" t="str">
        <x:v>Passed</x:v>
      </x:c>
      <x:c r="L58" s="42" t="str"/>
      <x:c r="M58" s="51" t="str"/>
    </x:row>
    <x:row r="59">
      <x:c r="A59" s="50" t="str">
        <x:v>TC-UI-058</x:v>
      </x:c>
      <x:c r="B59" s="42" t="str">
        <x:v>UI</x:v>
      </x:c>
      <x:c r="C59" s="42" t="str">
        <x:v>Отображение экрана без результатов</x:v>
      </x:c>
      <x:c r="D59" s="42" t="str">
        <x:v>Поиск</x:v>
      </x:c>
      <x:c r="E59" s="42" t="str">
        <x:v>Medium</x:v>
      </x:c>
      <x:c r="F59" s="42" t="str">
        <x:v>Открыта вкладка Поиск</x:v>
      </x:c>
      <x:c r="G59" s="42" t="str"/>
      <x:c r="H59" s="42" t="str">
        <x:v>1. Ввести случайный текст</x:v>
      </x:c>
      <x:c r="I59" s="42" t="str">
        <x:v>Отображается текст об отсутствии результатов поиска</x:v>
      </x:c>
      <x:c r="J59" s="42" t="str"/>
      <x:c r="K59" s="42" t="str">
        <x:v>Passed</x:v>
      </x:c>
      <x:c r="L59" s="42" t="str"/>
      <x:c r="M59" s="51" t="str"/>
    </x:row>
    <x:row r="60">
      <x:c r="A60" s="50" t="str">
        <x:v>TC-UI-059</x:v>
      </x:c>
      <x:c r="B60" s="42" t="str">
        <x:v>Functional</x:v>
      </x:c>
      <x:c r="C60" s="42" t="str">
        <x:v>Открытие настроек поиска</x:v>
      </x:c>
      <x:c r="D60" s="42" t="str">
        <x:v>Поиск</x:v>
      </x:c>
      <x:c r="E60" s="42" t="str">
        <x:v>High</x:v>
      </x:c>
      <x:c r="F60" s="42" t="str">
        <x:v>Открыта вкладка Поиск</x:v>
      </x:c>
      <x:c r="G60" s="42" t="str"/>
      <x:c r="H60" s="42" t="str">
        <x:v>1. Нажать кнопку настроек</x:v>
      </x:c>
      <x:c r="I60" s="42" t="str">
        <x:v>Открывается экран фильтров; отображаются параметры: страна, жанр, рейтинг, год, сортировка</x:v>
      </x:c>
      <x:c r="J60" s="42" t="str"/>
      <x:c r="K60" s="42" t="str">
        <x:v>Passed</x:v>
      </x:c>
      <x:c r="L60" s="42" t="str"/>
      <x:c r="M60" s="51" t="str"/>
    </x:row>
    <x:row r="61">
      <x:c r="A61" s="50" t="str">
        <x:v>TC-UI-060</x:v>
      </x:c>
      <x:c r="B61" s="42" t="str">
        <x:v>Functional</x:v>
      </x:c>
      <x:c r="C61" s="42" t="str">
        <x:v>Поведение loader при ошибке сети</x:v>
      </x:c>
      <x:c r="D61" s="42" t="str">
        <x:v>Network / Error handling</x:v>
      </x:c>
      <x:c r="E61" s="42" t="str">
        <x:v>Low</x:v>
      </x:c>
      <x:c r="F61" s="42" t="str">
        <x:v>Интернет соединение отключено</x:v>
      </x:c>
      <x:c r="G61" s="42" t="str">
        <x:v>Открытие главного экрана без интернет соединения</x:v>
      </x:c>
      <x:c r="H61" s="42" t="str">
        <x:v>1. Отключить интернет
2. Запустить приложение
3. Перейти на главный экран</x:v>
      </x:c>
      <x:c r="I61" s="42" t="str">
        <x:v>Loader отображается во время запроса и исчезает после появления сообщения об ошибке</x:v>
      </x:c>
      <x:c r="J61" s="42" t="str">
        <x:v>The loader remains visible after the network error message appears.</x:v>
      </x:c>
      <x:c r="K61" s="42" t="str">
        <x:v>Failed</x:v>
      </x:c>
      <x:c r="L61" s="42" t="str">
        <x:v>SK-BUG-003</x:v>
      </x:c>
      <x:c r="M61" s="51" t="str"/>
    </x:row>
    <x:row r="62">
      <x:c r="A62" s="50" t="str">
        <x:v>TC-UI-061</x:v>
      </x:c>
      <x:c r="B62" s="42" t="str">
        <x:v>Functional</x:v>
      </x:c>
      <x:c r="C62" s="42" t="str">
        <x:v>Открытие вкладки Профиль</x:v>
      </x:c>
      <x:c r="D62" s="42" t="str">
        <x:v>Профиль</x:v>
      </x:c>
      <x:c r="E62" s="42" t="str">
        <x:v>High</x:v>
      </x:c>
      <x:c r="F62" s="42" t="str">
        <x:v>Приложение запущено</x:v>
      </x:c>
      <x:c r="G62" s="42" t="str"/>
      <x:c r="H62" s="42" t="str">
        <x:v>1. Нажать вкладку Профиль</x:v>
      </x:c>
      <x:c r="I62" s="42" t="str">
        <x:v>Отображаются блоки: Просмотрено, Коллекции, История интересов</x:v>
      </x:c>
      <x:c r="J62" s="42" t="str"/>
      <x:c r="K62" s="42" t="str">
        <x:v>Passed</x:v>
      </x:c>
      <x:c r="L62" s="42" t="str"/>
      <x:c r="M62" s="51" t="str"/>
    </x:row>
    <x:row r="63">
      <x:c r="A63" s="50" t="str">
        <x:v>TC-UI-062</x:v>
      </x:c>
      <x:c r="B63" s="42" t="str">
        <x:v>Functional</x:v>
      </x:c>
      <x:c r="C63" s="42" t="str">
        <x:v>Создание новой пользовательской коллекции</x:v>
      </x:c>
      <x:c r="D63" s="42" t="str">
        <x:v>Профиль</x:v>
      </x:c>
      <x:c r="E63" s="42" t="str">
        <x:v>High</x:v>
      </x:c>
      <x:c r="F63" s="42" t="str">
        <x:v>Открыт экран Профиль</x:v>
      </x:c>
      <x:c r="G63" s="42" t="str"/>
      <x:c r="H63" s="42" t="str">
        <x:v>1. Нажать «Создать коллекцию»
2. Ввести название
3. Подтвердить</x:v>
      </x:c>
      <x:c r="I63" s="42" t="str">
        <x:v>Коллекция появляется в списке; отображается название и количество фильмов</x:v>
      </x:c>
      <x:c r="J63" s="42" t="str"/>
      <x:c r="K63" s="42" t="str">
        <x:v>Passed</x:v>
      </x:c>
      <x:c r="L63" s="42" t="str"/>
      <x:c r="M63" s="51" t="str"/>
    </x:row>
    <x:row r="64">
      <x:c r="A64" s="52" t="str">
        <x:v>TC-UI-063</x:v>
      </x:c>
      <x:c r="B64" s="67" t="str">
        <x:v>Functional</x:v>
      </x:c>
      <x:c r="C64" s="67" t="str">
        <x:v>Удаление пользовательской коллекции</x:v>
      </x:c>
      <x:c r="D64" s="67" t="str">
        <x:v>Профиль</x:v>
      </x:c>
      <x:c r="E64" s="67" t="str">
        <x:v>Medium</x:v>
      </x:c>
      <x:c r="F64" s="67" t="str">
        <x:v>Существует пользовательская коллекция</x:v>
      </x:c>
      <x:c r="G64" s="67" t="str"/>
      <x:c r="H64" s="67" t="str">
        <x:v>1. Открыть коллекции
2. Нажать удалить рядом с коллекцией</x:v>
      </x:c>
      <x:c r="I64" s="67" t="str">
        <x:v>Коллекция исчезает из списка; экран обновляется</x:v>
      </x:c>
      <x:c r="J64" s="67" t="str"/>
      <x:c r="K64" s="67" t="str">
        <x:v>Passed</x:v>
      </x:c>
      <x:c r="L64" s="67" t="str"/>
      <x:c r="M64" s="53" t="str"/>
    </x:row>
  </x:sheetData>
  <x:conditionalFormatting sqref="K2:K64">
    <x:cfRule type="expression" dxfId="3" priority="1">
      <x:formula>K2="Passed"</x:formula>
    </x:cfRule>
    <x:cfRule type="expression" dxfId="4" priority="2">
      <x:formula>K2="Failed"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058cf93efa42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28" hidden="0" customWidth="1"/>
    <x:col min="5" max="5" width="42" hidden="0" customWidth="1"/>
    <x:col min="6" max="6" width="42" hidden="0" customWidth="1"/>
    <x:col min="7" max="7" width="36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6" hidden="0" customWidth="1"/>
    <x:col min="13" max="13" width="34" hidden="0" customWidth="1"/>
    <x:col min="14" max="14" width="42" hidden="0" customWidth="1"/>
  </x:cols>
  <x:sheetData>
    <x:row r="1">
      <x:c r="A1" s="64" t="str">
        <x:v>Source ID</x:v>
      </x:c>
      <x:c r="B1" s="65" t="str">
        <x:v>Title</x:v>
      </x:c>
      <x:c r="C1" s="65" t="str">
        <x:v>Requirement</x:v>
      </x:c>
      <x:c r="D1" s="65" t="str">
        <x:v>Preconditions</x:v>
      </x:c>
      <x:c r="E1" s="65" t="str">
        <x:v>Steps</x:v>
      </x:c>
      <x:c r="F1" s="65" t="str">
        <x:v>Expected Result</x:v>
      </x:c>
      <x:c r="G1" s="65" t="str">
        <x:v>Actual Result</x:v>
      </x:c>
      <x:c r="H1" s="65" t="str">
        <x:v>Status</x:v>
      </x:c>
      <x:c r="I1" s="65" t="str">
        <x:v>Bug ID</x:v>
      </x:c>
      <x:c r="J1" s="65" t="str">
        <x:v>Severity</x:v>
      </x:c>
      <x:c r="K1" s="65" t="str">
        <x:v>Priority</x:v>
      </x:c>
      <x:c r="L1" s="65" t="str">
        <x:v>Type</x:v>
      </x:c>
      <x:c r="M1" s="65" t="str">
        <x:v>Environment</x:v>
      </x:c>
      <x:c r="N1" s="66" t="str">
        <x:v>Notes</x:v>
      </x:c>
    </x:row>
    <x:row r="2">
      <x:c r="A2" s="50" t="str">
        <x:v>TC_UX_001</x:v>
      </x:c>
      <x:c r="B2" s="42" t="str">
        <x:v>Онбординг отображается при первом запуске</x:v>
      </x:c>
      <x:c r="C2" s="42" t="str">
        <x:v>3.1 Онбординг</x:v>
      </x:c>
      <x:c r="D2" s="42" t="str">
        <x:v>Приложение установлено впервые</x:v>
      </x:c>
      <x:c r="E2" s="42" t="str">
        <x:v>1. Запустить приложение</x:v>
      </x:c>
      <x:c r="F2" s="42" t="str">
        <x:v>Отображается онбординг с описанием функций</x:v>
      </x:c>
      <x:c r="G2" s="42" t="str">
        <x:v>Соответствует</x:v>
      </x:c>
      <x:c r="H2" s="42" t="str">
        <x:v>Passed</x:v>
      </x:c>
      <x:c r="I2" s="42" t="str"/>
      <x:c r="J2" s="42" t="str"/>
      <x:c r="K2" s="42" t="str"/>
      <x:c r="L2" s="42" t="str">
        <x:v>UX / Design</x:v>
      </x:c>
      <x:c r="M2" s="42" t="str">
        <x:v>Android Studio Emulator, Medium Phone, API 36.1</x:v>
      </x:c>
      <x:c r="N2" s="51" t="str">
        <x:v>Passed in this source run, but onboarding failed in TC-UI-024. Exact build/run must be confirmed.</x:v>
      </x:c>
    </x:row>
    <x:row r="3">
      <x:c r="A3" s="50" t="str">
        <x:v>TC_UX_002</x:v>
      </x:c>
      <x:c r="B3" s="42" t="str">
        <x:v>Переход с главной на экран фильма/сериала</x:v>
      </x:c>
      <x:c r="C3" s="42" t="str">
        <x:v>3.2 Главная</x:v>
      </x:c>
      <x:c r="D3" s="42" t="str">
        <x:v>Открыта главная страница</x:v>
      </x:c>
      <x:c r="E3" s="42" t="str">
        <x:v>1. Выбрать любой фильм/сериал
2. Нажать на карточку</x:v>
      </x:c>
      <x:c r="F3" s="42" t="str">
        <x:v>Открывается экран с деталями</x:v>
      </x:c>
      <x:c r="G3" s="42" t="str">
        <x:v>Соответствует</x:v>
      </x:c>
      <x:c r="H3" s="42" t="str">
        <x:v>Passed</x:v>
      </x:c>
      <x:c r="I3" s="42" t="str"/>
      <x:c r="J3" s="42" t="str"/>
      <x:c r="K3" s="42" t="str"/>
      <x:c r="L3" s="42" t="str">
        <x:v>UX / Design</x:v>
      </x:c>
      <x:c r="M3" s="42" t="str">
        <x:v>Android Studio Emulator, Medium Phone, API 36.1</x:v>
      </x:c>
      <x:c r="N3" s="51" t="str"/>
    </x:row>
    <x:row r="4">
      <x:c r="A4" s="50" t="str">
        <x:v>TC_UX_003</x:v>
      </x:c>
      <x:c r="B4" s="42" t="str">
        <x:v>Отображение кнопки "Все" в длинных подборках</x:v>
      </x:c>
      <x:c r="C4" s="42" t="str">
        <x:v>3.2 Главная</x:v>
      </x:c>
      <x:c r="D4" s="42" t="str">
        <x:v>Есть подборка &gt;20 элементов</x:v>
      </x:c>
      <x:c r="E4" s="42" t="str">
        <x:v>1. Открыть главную
2. Найти длинную подборку</x:v>
      </x:c>
      <x:c r="F4" s="42" t="str">
        <x:v>Отображается кнопка "Все"</x:v>
      </x:c>
      <x:c r="G4" s="42" t="str">
        <x:v>Соответствует</x:v>
      </x:c>
      <x:c r="H4" s="42" t="str">
        <x:v>Passed</x:v>
      </x:c>
      <x:c r="I4" s="42" t="str"/>
      <x:c r="J4" s="42" t="str"/>
      <x:c r="K4" s="42" t="str"/>
      <x:c r="L4" s="42" t="str">
        <x:v>UX / Design</x:v>
      </x:c>
      <x:c r="M4" s="42" t="str">
        <x:v>Android Studio Emulator, Medium Phone, API 36.1</x:v>
      </x:c>
      <x:c r="N4" s="51" t="str"/>
    </x:row>
    <x:row r="5">
      <x:c r="A5" s="50" t="str">
        <x:v>TC_UX_004</x:v>
      </x:c>
      <x:c r="B5" s="42" t="str">
        <x:v>Добавление фильма в "Любимые"</x:v>
      </x:c>
      <x:c r="C5" s="42" t="str">
        <x:v>3.3 Фильм</x:v>
      </x:c>
      <x:c r="D5" s="42" t="str">
        <x:v>Открыта карточка фильма</x:v>
      </x:c>
      <x:c r="E5" s="42" t="str">
        <x:v>1. Нажать "Любимые"</x:v>
      </x:c>
      <x:c r="F5" s="42" t="str">
        <x:v>Фильм добавляется, кнопка активна</x:v>
      </x:c>
      <x:c r="G5" s="42" t="str">
        <x:v>Соответствует</x:v>
      </x:c>
      <x:c r="H5" s="42" t="str">
        <x:v>Passed</x:v>
      </x:c>
      <x:c r="I5" s="42" t="str"/>
      <x:c r="J5" s="42" t="str"/>
      <x:c r="K5" s="42" t="str"/>
      <x:c r="L5" s="42" t="str">
        <x:v>UX / Design</x:v>
      </x:c>
      <x:c r="M5" s="42" t="str">
        <x:v>Android Studio Emulator, Medium Phone, API 36.1</x:v>
      </x:c>
      <x:c r="N5" s="51" t="str"/>
    </x:row>
    <x:row r="6">
      <x:c r="A6" s="50" t="str">
        <x:v>TC_UX_005</x:v>
      </x:c>
      <x:c r="B6" s="42" t="str">
        <x:v>Переключение "Уже просмотрено"</x:v>
      </x:c>
      <x:c r="C6" s="42" t="str">
        <x:v>3.3 Фильм</x:v>
      </x:c>
      <x:c r="D6" s="42" t="str">
        <x:v>Открыта карточка фильма</x:v>
      </x:c>
      <x:c r="E6" s="42" t="str">
        <x:v>1. Нажать "Уже просмотрено"</x:v>
      </x:c>
      <x:c r="F6" s="42" t="str">
        <x:v>Фильм отмечается как просмотренный</x:v>
      </x:c>
      <x:c r="G6" s="42" t="str">
        <x:v>Соответствует</x:v>
      </x:c>
      <x:c r="H6" s="42" t="str">
        <x:v>Passed</x:v>
      </x:c>
      <x:c r="I6" s="42" t="str"/>
      <x:c r="J6" s="42" t="str"/>
      <x:c r="K6" s="42" t="str"/>
      <x:c r="L6" s="42" t="str">
        <x:v>UX / Design</x:v>
      </x:c>
      <x:c r="M6" s="42" t="str">
        <x:v>Android Studio Emulator, Medium Phone, API 36.1</x:v>
      </x:c>
      <x:c r="N6" s="51" t="str"/>
    </x:row>
    <x:row r="7">
      <x:c r="A7" s="50" t="str">
        <x:v>TC_UX_006</x:v>
      </x:c>
      <x:c r="B7" s="42" t="str">
        <x:v>Отображение блока "Похожие фильмы"</x:v>
      </x:c>
      <x:c r="C7" s="42" t="str">
        <x:v>3.3 Фильм</x:v>
      </x:c>
      <x:c r="D7" s="42" t="str">
        <x:v>Открыт экран сериала</x:v>
      </x:c>
      <x:c r="E7" s="42" t="str">
        <x:v>1. Перейти в сериал
2. Пролистать вниз до конца</x:v>
      </x:c>
      <x:c r="F7" s="42" t="str">
        <x:v>Отображается блок "Похожие фильмы"</x:v>
      </x:c>
      <x:c r="G7" s="42" t="str">
        <x:v>Блок отсутствует</x:v>
      </x:c>
      <x:c r="H7" s="42" t="str">
        <x:v>Failed</x:v>
      </x:c>
      <x:c r="I7" s="42" t="str">
        <x:v>SK-BUG-004</x:v>
      </x:c>
      <x:c r="J7" s="42" t="str">
        <x:v>Major</x:v>
      </x:c>
      <x:c r="K7" s="42" t="str">
        <x:v>High</x:v>
      </x:c>
      <x:c r="L7" s="42" t="str">
        <x:v>Functional</x:v>
      </x:c>
      <x:c r="M7" s="42" t="str">
        <x:v>Android Studio Emulator, Medium Phone, API 36.1</x:v>
      </x:c>
      <x:c r="N7" s="51" t="str"/>
    </x:row>
    <x:row r="8">
      <x:c r="A8" s="50" t="str">
        <x:v>TC_UX_007</x:v>
      </x:c>
      <x:c r="B8" s="42" t="str">
        <x:v>Галерея содержит разные категории изображений</x:v>
      </x:c>
      <x:c r="C8" s="42" t="str">
        <x:v>3.3 Галерея</x:v>
      </x:c>
      <x:c r="D8" s="42" t="str">
        <x:v>Открыт экран сериала</x:v>
      </x:c>
      <x:c r="E8" s="42" t="str">
        <x:v>1. Перейти в сериал
2. Найти "Галерея"
3. Открыть галерею</x:v>
      </x:c>
      <x:c r="F8" s="42" t="str">
        <x:v>Есть категории: кадры, со съемок, постеры</x:v>
      </x:c>
      <x:c r="G8" s="42" t="str">
        <x:v>Только постеры</x:v>
      </x:c>
      <x:c r="H8" s="42" t="str">
        <x:v>Failed</x:v>
      </x:c>
      <x:c r="I8" s="42" t="str">
        <x:v>SK-BUG-005</x:v>
      </x:c>
      <x:c r="J8" s="42" t="str">
        <x:v>Major</x:v>
      </x:c>
      <x:c r="K8" s="42" t="str">
        <x:v>High</x:v>
      </x:c>
      <x:c r="L8" s="42" t="str">
        <x:v>Functional</x:v>
      </x:c>
      <x:c r="M8" s="42" t="str">
        <x:v>Android Studio Emulator, Medium Phone, API 36.1</x:v>
      </x:c>
      <x:c r="N8" s="51" t="str"/>
    </x:row>
    <x:row r="9">
      <x:c r="A9" s="50" t="str">
        <x:v>TC_UX_008</x:v>
      </x:c>
      <x:c r="B9" s="42" t="str">
        <x:v>Автоматический поиск без кнопки</x:v>
      </x:c>
      <x:c r="C9" s="42" t="str">
        <x:v>3.4 Поиск</x:v>
      </x:c>
      <x:c r="D9" s="42" t="str">
        <x:v>Открыта вкладка поиска</x:v>
      </x:c>
      <x:c r="E9" s="42" t="str">
        <x:v>1. Ввести текст в строку поиска</x:v>
      </x:c>
      <x:c r="F9" s="42" t="str">
        <x:v>Результаты появляются автоматически</x:v>
      </x:c>
      <x:c r="G9" s="42" t="str">
        <x:v>Соответствует</x:v>
      </x:c>
      <x:c r="H9" s="42" t="str">
        <x:v>Passed</x:v>
      </x:c>
      <x:c r="I9" s="42" t="str"/>
      <x:c r="J9" s="42" t="str"/>
      <x:c r="K9" s="42" t="str"/>
      <x:c r="L9" s="42" t="str">
        <x:v>UX / Design</x:v>
      </x:c>
      <x:c r="M9" s="42" t="str">
        <x:v>Android Studio Emulator, Medium Phone, API 36.1</x:v>
      </x:c>
      <x:c r="N9" s="51" t="str"/>
    </x:row>
    <x:row r="10">
      <x:c r="A10" s="50" t="str">
        <x:v>TC_UX_009</x:v>
      </x:c>
      <x:c r="B10" s="42" t="str">
        <x:v>Сохранение фильтров в рамках сессии</x:v>
      </x:c>
      <x:c r="C10" s="42" t="str">
        <x:v>3.4 Поиск</x:v>
      </x:c>
      <x:c r="D10" s="42" t="str">
        <x:v>Установлены фильтры</x:v>
      </x:c>
      <x:c r="E10" s="42" t="str">
        <x:v>1. Установить фильтры
2. Закрыть экран
3. Вернуться</x:v>
      </x:c>
      <x:c r="F10" s="42" t="str">
        <x:v>Фильтры сохраняются</x:v>
      </x:c>
      <x:c r="G10" s="42" t="str">
        <x:v>Соответствует</x:v>
      </x:c>
      <x:c r="H10" s="42" t="str">
        <x:v>Passed</x:v>
      </x:c>
      <x:c r="I10" s="42" t="str"/>
      <x:c r="J10" s="42" t="str"/>
      <x:c r="K10" s="42" t="str"/>
      <x:c r="L10" s="42" t="str">
        <x:v>UX / Design</x:v>
      </x:c>
      <x:c r="M10" s="42" t="str">
        <x:v>Android Studio Emulator, Medium Phone, API 36.1</x:v>
      </x:c>
      <x:c r="N10" s="51" t="str"/>
    </x:row>
    <x:row r="11">
      <x:c r="A11" s="50" t="str">
        <x:v>TC_UX_010</x:v>
      </x:c>
      <x:c r="B11" s="42" t="str">
        <x:v>Очистка истории в профиле</x:v>
      </x:c>
      <x:c r="C11" s="42" t="str">
        <x:v>3.5 Профиль</x:v>
      </x:c>
      <x:c r="D11" s="42" t="str">
        <x:v>Есть история просмотров</x:v>
      </x:c>
      <x:c r="E11" s="42" t="str">
        <x:v>1. Перейти в профиль
2. Очистить историю</x:v>
      </x:c>
      <x:c r="F11" s="42" t="str">
        <x:v>История очищается</x:v>
      </x:c>
      <x:c r="G11" s="42" t="str">
        <x:v>Соответствует</x:v>
      </x:c>
      <x:c r="H11" s="42" t="str">
        <x:v>Passed</x:v>
      </x:c>
      <x:c r="I11" s="42" t="str"/>
      <x:c r="J11" s="42" t="str"/>
      <x:c r="K11" s="42" t="str"/>
      <x:c r="L11" s="42" t="str">
        <x:v>UX / Design</x:v>
      </x:c>
      <x:c r="M11" s="42" t="str">
        <x:v>Android Studio Emulator, Medium Phone, API 36.1</x:v>
      </x:c>
      <x:c r="N11" s="51" t="str"/>
    </x:row>
    <x:row r="12">
      <x:c r="A12" s="50" t="str">
        <x:v>TC_UX_011</x:v>
      </x:c>
      <x:c r="B12" s="42" t="str">
        <x:v>Соответствие названия фильтра макету</x:v>
      </x:c>
      <x:c r="C12" s="42" t="str">
        <x:v>3.4 Поиск</x:v>
      </x:c>
      <x:c r="D12" s="42" t="str">
        <x:v>Открыты фильтры</x:v>
      </x:c>
      <x:c r="E12" s="42" t="str">
        <x:v>1. Перейти в поиск
2. Открыть фильтры
3. Найти фильтр даты</x:v>
      </x:c>
      <x:c r="F12" s="42" t="str">
        <x:v>Название "Период"</x:v>
      </x:c>
      <x:c r="G12" s="42" t="str">
        <x:v>Используется "Год"</x:v>
      </x:c>
      <x:c r="H12" s="42" t="str">
        <x:v>Failed</x:v>
      </x:c>
      <x:c r="I12" s="42" t="str">
        <x:v>SK-BUG-006</x:v>
      </x:c>
      <x:c r="J12" s="42" t="str">
        <x:v>Minor</x:v>
      </x:c>
      <x:c r="K12" s="42" t="str">
        <x:v>Medium</x:v>
      </x:c>
      <x:c r="L12" s="42" t="str">
        <x:v>UI</x:v>
      </x:c>
      <x:c r="M12" s="42" t="str">
        <x:v>Android Studio Emulator, Medium Phone, API 36.1</x:v>
      </x:c>
      <x:c r="N12" s="51" t="str"/>
    </x:row>
    <x:row r="13">
      <x:c r="A13" s="52" t="str">
        <x:v>TC_UX_012</x:v>
      </x:c>
      <x:c r="B13" s="67" t="str">
        <x:v>Соответствие дизайна кнопки "Выбрать" макету</x:v>
      </x:c>
      <x:c r="C13" s="67" t="str">
        <x:v>3.4 Поиск</x:v>
      </x:c>
      <x:c r="D13" s="67" t="str">
        <x:v>Открыты фильтры</x:v>
      </x:c>
      <x:c r="E13" s="67" t="str">
        <x:v>1. Перейти в поиск
2. Открыть фильтры
3. Найти кнопку "Выбрать"
4. Сравнить с макетом</x:v>
      </x:c>
      <x:c r="F13" s="67" t="str">
        <x:v>Кнопка соответствует макету (скругления)</x:v>
      </x:c>
      <x:c r="G13" s="67" t="str">
        <x:v>Скругления отличаются</x:v>
      </x:c>
      <x:c r="H13" s="67" t="str">
        <x:v>Failed</x:v>
      </x:c>
      <x:c r="I13" s="67" t="str">
        <x:v>SK-BUG-007</x:v>
      </x:c>
      <x:c r="J13" s="67" t="str">
        <x:v>Minor</x:v>
      </x:c>
      <x:c r="K13" s="67" t="str">
        <x:v>Low</x:v>
      </x:c>
      <x:c r="L13" s="67" t="str">
        <x:v>UI</x:v>
      </x:c>
      <x:c r="M13" s="67" t="str">
        <x:v>Android Studio Emulator, Medium Phone, API 36.1</x:v>
      </x:c>
      <x:c r="N13" s="53" t="str"/>
    </x:row>
  </x:sheetData>
  <x:conditionalFormatting sqref="H2:H13">
    <x:cfRule type="expression" dxfId="5" priority="1">
      <x:formula>H2="Passed"</x:formula>
    </x:cfRule>
    <x:cfRule type="expression" dxfId="6" priority="2">
      <x:formula>H2="Failed"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2c46c1ee264f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36" hidden="0" customWidth="1"/>
    <x:col min="5" max="5" width="28" hidden="0" customWidth="1"/>
    <x:col min="6" max="6" width="44" hidden="0" customWidth="1"/>
    <x:col min="7" max="7" width="42" hidden="0" customWidth="1"/>
    <x:col min="8" max="8" width="42" hidden="0" customWidth="1"/>
    <x:col min="9" max="9" width="12" hidden="0" customWidth="1"/>
    <x:col min="10" max="10" width="12" hidden="0" customWidth="1"/>
    <x:col min="11" max="11" width="16" hidden="0" customWidth="1"/>
    <x:col min="12" max="12" width="20" hidden="0" customWidth="1"/>
    <x:col min="13" max="13" width="14" hidden="0" customWidth="1"/>
  </x:cols>
  <x:sheetData>
    <x:row r="1">
      <x:c r="A1" s="64" t="str">
        <x:v>Bug ID</x:v>
      </x:c>
      <x:c r="B1" s="65" t="str">
        <x:v>Title</x:v>
      </x:c>
      <x:c r="C1" s="65" t="str">
        <x:v>Module</x:v>
      </x:c>
      <x:c r="D1" s="65" t="str">
        <x:v>Environment</x:v>
      </x:c>
      <x:c r="E1" s="65" t="str">
        <x:v>Preconditions</x:v>
      </x:c>
      <x:c r="F1" s="65" t="str">
        <x:v>Steps</x:v>
      </x:c>
      <x:c r="G1" s="65" t="str">
        <x:v>Expected Result</x:v>
      </x:c>
      <x:c r="H1" s="65" t="str">
        <x:v>Actual Result</x:v>
      </x:c>
      <x:c r="I1" s="65" t="str">
        <x:v>Severity</x:v>
      </x:c>
      <x:c r="J1" s="65" t="str">
        <x:v>Priority</x:v>
      </x:c>
      <x:c r="K1" s="65" t="str">
        <x:v>Type</x:v>
      </x:c>
      <x:c r="L1" s="65" t="str">
        <x:v>Status</x:v>
      </x:c>
      <x:c r="M1" s="66" t="str">
        <x:v>Source Bug ID</x:v>
      </x:c>
    </x:row>
    <x:row r="2">
      <x:c r="A2" s="50" t="str">
        <x:v>SK-BUG-001</x:v>
      </x:c>
      <x:c r="B2" s="42" t="str">
        <x:v>Онбординг не отображается при первом запуске приложения на экране запуска</x:v>
      </x:c>
      <x:c r="C2" s="42" t="str">
        <x:v>Onboarding</x:v>
      </x:c>
      <x:c r="D2" s="42" t="str">
        <x:v>Android Emulator Pixel 4, Android API 36, Build Debug</x:v>
      </x:c>
      <x:c r="E2" s="42" t="str"/>
      <x:c r="F2" s="42" t="str">
        <x:v>1. Install the provided APK build
2. Clear application data or reinstall the application
3. Launch the application</x:v>
      </x:c>
      <x:c r="G2" s="42" t="str">
        <x:v>При первом запуске приложения должен отображаться экран онбординга с информацией о возможностях приложения.</x:v>
      </x:c>
      <x:c r="H2" s="42" t="str">
        <x:v>Онбординг не отображается. После запуска приложения сразу открывается главный экран приложения.</x:v>
      </x:c>
      <x:c r="I2" s="42" t="str">
        <x:v>Major</x:v>
      </x:c>
      <x:c r="J2" s="42" t="str">
        <x:v>High</x:v>
      </x:c>
      <x:c r="K2" s="42" t="str">
        <x:v>Functional</x:v>
      </x:c>
      <x:c r="L2" s="42" t="str">
        <x:v>Needs clarification</x:v>
      </x:c>
      <x:c r="M2" s="51" t="str">
        <x:v>BUG-01</x:v>
      </x:c>
    </x:row>
    <x:row r="3">
      <x:c r="A3" s="50" t="str">
        <x:v>SK-BUG-002</x:v>
      </x:c>
      <x:c r="B3" s="42" t="str">
        <x:v>Поиск отправляет API‑запрос на каждый введённый символ в поле поиска на экране Search</x:v>
      </x:c>
      <x:c r="C3" s="42" t="str">
        <x:v>Search / Network</x:v>
      </x:c>
      <x:c r="D3" s="42" t="str">
        <x:v>Android Emulator Pixel 4, Android API 36, Build Debug, Network Inspector</x:v>
      </x:c>
      <x:c r="E3" s="42" t="str"/>
      <x:c r="F3" s="42" t="str">
        <x:v>1. Запустить приложение.
2. Перейти на экран Search.
3. Открыть Network Inspector.
4. Начать вводить текст в поле поиска (например: 'игра') по одной букве.
5. Наблюдать сетевые запросы.</x:v>
      </x:c>
      <x:c r="G3" s="42" t="str">
        <x:v>API‑запрос должен отправляться после завершения ввода текста или после небольшой паузы (debounce), чтобы сократить количество сетевых запросов.</x:v>
      </x:c>
      <x:c r="H3" s="42" t="str">
        <x:v>API‑запрос отправляется на каждый введённый символ (например: keyword=и, keyword=иг и т.д.).</x:v>
      </x:c>
      <x:c r="I3" s="42" t="str">
        <x:v>Minor</x:v>
      </x:c>
      <x:c r="J3" s="42" t="str">
        <x:v>Medium</x:v>
      </x:c>
      <x:c r="K3" s="42" t="str">
        <x:v>Performance</x:v>
      </x:c>
      <x:c r="L3" s="42" t="str">
        <x:v>Open</x:v>
      </x:c>
      <x:c r="M3" s="51" t="str">
        <x:v>BUG-02</x:v>
      </x:c>
    </x:row>
    <x:row r="4">
      <x:c r="A4" s="50" t="str">
        <x:v>SK-BUG-003</x:v>
      </x:c>
      <x:c r="B4" s="42" t="str">
        <x:v>Loader продолжает отображаться после появления ошибки сети на главном экране при отсутствии интернета</x:v>
      </x:c>
      <x:c r="C4" s="42" t="str">
        <x:v>Network / Error handling</x:v>
      </x:c>
      <x:c r="D4" s="42" t="str">
        <x:v>Android Emulator Pixel 4, Android API 36, интернет соединение отключено</x:v>
      </x:c>
      <x:c r="E4" s="42" t="str"/>
      <x:c r="F4" s="42" t="str">
        <x:v>1. Отключить интернет соединение на устройстве.
2. Запустить приложение.
3. Открыть главный экран приложения.
4. Дождаться появления сообщения об ошибке.</x:v>
      </x:c>
      <x:c r="G4" s="42" t="str">
        <x:v>После появления сообщения об ошибке загрузки loader должен скрываться.</x:v>
      </x:c>
      <x:c r="H4" s="42" t="str">
        <x:v>После появления сообщения об ошибке loader продолжает отображаться на экране.</x:v>
      </x:c>
      <x:c r="I4" s="42" t="str">
        <x:v>Minor</x:v>
      </x:c>
      <x:c r="J4" s="42" t="str">
        <x:v>Low</x:v>
      </x:c>
      <x:c r="K4" s="42" t="str">
        <x:v>Functional</x:v>
      </x:c>
      <x:c r="L4" s="42" t="str">
        <x:v>Open</x:v>
      </x:c>
      <x:c r="M4" s="51" t="str">
        <x:v>BUG-03</x:v>
      </x:c>
    </x:row>
    <x:row r="5">
      <x:c r="A5" s="50" t="str">
        <x:v>SK-BUG-004</x:v>
      </x:c>
      <x:c r="B5" s="42" t="str">
        <x:v>Отсутствует блок "Похожие фильмы" на странице сериала</x:v>
      </x:c>
      <x:c r="C5" s="42" t="str">
        <x:v>Series details</x:v>
      </x:c>
      <x:c r="D5" s="42" t="str">
        <x:v>Android Studio, эмулятор Medium Phone API 36.1</x:v>
      </x:c>
      <x:c r="E5" s="42" t="str">
        <x:v>Открыто приложение</x:v>
      </x:c>
      <x:c r="F5" s="42" t="str">
        <x:v>1. Запустить приложение
2. Перейти на вкладку "Главная"
3. Открыть любой сериал
4. Прокрутить экран вниз</x:v>
      </x:c>
      <x:c r="G5" s="42" t="str">
        <x:v>Отображается блок "Похожие фильмы"</x:v>
      </x:c>
      <x:c r="H5" s="42" t="str">
        <x:v>Блок отсутствует</x:v>
      </x:c>
      <x:c r="I5" s="42" t="str">
        <x:v>Major</x:v>
      </x:c>
      <x:c r="J5" s="42" t="str">
        <x:v>High</x:v>
      </x:c>
      <x:c r="K5" s="42" t="str">
        <x:v>Functional</x:v>
      </x:c>
      <x:c r="L5" s="42" t="str">
        <x:v>Open</x:v>
      </x:c>
      <x:c r="M5" s="51" t="str">
        <x:v>BUG_001</x:v>
      </x:c>
    </x:row>
    <x:row r="6">
      <x:c r="A6" s="50" t="str">
        <x:v>SK-BUG-005</x:v>
      </x:c>
      <x:c r="B6" s="42" t="str">
        <x:v>В галерее сериала отображается только категория "Постеры"</x:v>
      </x:c>
      <x:c r="C6" s="42" t="str">
        <x:v>Gallery</x:v>
      </x:c>
      <x:c r="D6" s="42" t="str">
        <x:v>Android Studio, эмулятор Medium Phone API 36.1</x:v>
      </x:c>
      <x:c r="E6" s="42" t="str">
        <x:v>Открыт экран сериала</x:v>
      </x:c>
      <x:c r="F6" s="42" t="str">
        <x:v>1. Запустить приложение
2. Перейти в любой сериал
3. Найти блок "Галерея"
4. Открыть галерею</x:v>
      </x:c>
      <x:c r="G6" s="42" t="str">
        <x:v>Должны отображаться категории: "Кадры", "Со съемок", "Постеры"</x:v>
      </x:c>
      <x:c r="H6" s="42" t="str">
        <x:v>Отображается только "Постеры"</x:v>
      </x:c>
      <x:c r="I6" s="42" t="str">
        <x:v>Major</x:v>
      </x:c>
      <x:c r="J6" s="42" t="str">
        <x:v>High</x:v>
      </x:c>
      <x:c r="K6" s="42" t="str">
        <x:v>Functional</x:v>
      </x:c>
      <x:c r="L6" s="42" t="str">
        <x:v>Open</x:v>
      </x:c>
      <x:c r="M6" s="51" t="str">
        <x:v>BUG_002</x:v>
      </x:c>
    </x:row>
    <x:row r="7">
      <x:c r="A7" s="50" t="str">
        <x:v>SK-BUG-006</x:v>
      </x:c>
      <x:c r="B7" s="42" t="str">
        <x:v>Несоответствие названия фильтра: "Период" (макет) vs "Год" (приложение)</x:v>
      </x:c>
      <x:c r="C7" s="42" t="str">
        <x:v>Search / Filters</x:v>
      </x:c>
      <x:c r="D7" s="42" t="str">
        <x:v>Android Studio, эмулятор Medium Phone API 36.1</x:v>
      </x:c>
      <x:c r="E7" s="42" t="str">
        <x:v>Открыт экран поиска</x:v>
      </x:c>
      <x:c r="F7" s="42" t="str">
        <x:v>1. Перейти во вкладку "Поиск"
2. Открыть настройки поиска
3. Найти фильтр по дате</x:v>
      </x:c>
      <x:c r="G7" s="42" t="str">
        <x:v>Название соответствует макету — "Период"</x:v>
      </x:c>
      <x:c r="H7" s="42" t="str">
        <x:v>В приложении используется название "Год"</x:v>
      </x:c>
      <x:c r="I7" s="42" t="str">
        <x:v>Minor</x:v>
      </x:c>
      <x:c r="J7" s="42" t="str">
        <x:v>Medium</x:v>
      </x:c>
      <x:c r="K7" s="42" t="str">
        <x:v>UI</x:v>
      </x:c>
      <x:c r="L7" s="42" t="str">
        <x:v>Open</x:v>
      </x:c>
      <x:c r="M7" s="51" t="str">
        <x:v>BUG_003</x:v>
      </x:c>
    </x:row>
    <x:row r="8">
      <x:c r="A8" s="52" t="str">
        <x:v>SK-BUG-007</x:v>
      </x:c>
      <x:c r="B8" s="67" t="str">
        <x:v>Кнопка "Выбрать" имеет отличия от макета (скругление углов)</x:v>
      </x:c>
      <x:c r="C8" s="67" t="str">
        <x:v>Search / Filters</x:v>
      </x:c>
      <x:c r="D8" s="67" t="str">
        <x:v>Android Studio, эмулятор Medium Phone API 36.1</x:v>
      </x:c>
      <x:c r="E8" s="67" t="str">
        <x:v>Открыт фильтр поиска</x:v>
      </x:c>
      <x:c r="F8" s="67" t="str">
        <x:v>1. Перейти во вкладку "Поиск"
2. Открыть фильтры
3. Найти кнопку "Выбрать"
4. Сравнить с макетом</x:v>
      </x:c>
      <x:c r="G8" s="67" t="str">
        <x:v>Кнопка соответствует макету (более скругленные углы)</x:v>
      </x:c>
      <x:c r="H8" s="67" t="str">
        <x:v>Углы менее скруглены, визуально отличается от макета</x:v>
      </x:c>
      <x:c r="I8" s="67" t="str">
        <x:v>Minor</x:v>
      </x:c>
      <x:c r="J8" s="67" t="str">
        <x:v>Low</x:v>
      </x:c>
      <x:c r="K8" s="67" t="str">
        <x:v>UI</x:v>
      </x:c>
      <x:c r="L8" s="67" t="str">
        <x:v>Open</x:v>
      </x:c>
      <x:c r="M8" s="53" t="str">
        <x:v>BUG_004</x:v>
      </x:c>
    </x:row>
  </x:sheetData>
  <x:conditionalFormatting sqref="I2:I8">
    <x:cfRule type="expression" dxfId="7" priority="1">
      <x:formula>I2="Major"</x:formula>
    </x:cfRule>
    <x:cfRule type="expression" dxfId="8" priority="2">
      <x:formula>I2="Minor"</x:formula>
    </x:cfRule>
  </x:conditionalFormatting>
  <x:conditionalFormatting sqref="L2:L8">
    <x:cfRule type="expression" dxfId="9" priority="3">
      <x:formula>L2="Open"</x:formula>
    </x:cfRule>
    <x:cfRule type="expression" dxfId="10" priority="4">
      <x:formula>L2="Needs clarification"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5967f8e3fa40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18" hidden="0" customWidth="1"/>
    <x:col min="5" max="5" width="18" hidden="0" customWidth="1"/>
    <x:col min="6" max="6" width="42" hidden="0" customWidth="1"/>
    <x:col min="7" max="7" width="46" hidden="0" customWidth="1"/>
  </x:cols>
  <x:sheetData>
    <x:row r="1">
      <x:c r="A1" s="64" t="str">
        <x:v>Environment ID</x:v>
      </x:c>
      <x:c r="B1" s="65" t="str">
        <x:v>Platform</x:v>
      </x:c>
      <x:c r="C1" s="65" t="str">
        <x:v>Device / Emulator</x:v>
      </x:c>
      <x:c r="D1" s="65" t="str">
        <x:v>OS / API</x:v>
      </x:c>
      <x:c r="E1" s="65" t="str">
        <x:v>Build</x:v>
      </x:c>
      <x:c r="F1" s="65" t="str">
        <x:v>Scope</x:v>
      </x:c>
      <x:c r="G1" s="66" t="str">
        <x:v>Source</x:v>
      </x:c>
    </x:row>
    <x:row r="2">
      <x:c r="A2" s="50" t="str">
        <x:v>ENV-01</x:v>
      </x:c>
      <x:c r="B2" s="42" t="str">
        <x:v>Android Studio Emulator</x:v>
      </x:c>
      <x:c r="C2" s="42" t="str">
        <x:v>Medium Phone</x:v>
      </x:c>
      <x:c r="D2" s="42" t="str">
        <x:v>Android API 36.1</x:v>
      </x:c>
      <x:c r="E2" s="42" t="str">
        <x:v>Not recorded</x:v>
      </x:c>
      <x:c r="F2" s="42" t="str">
        <x:v>UX and design comparison</x:v>
      </x:c>
      <x:c r="G2" s="51" t="str">
        <x:v>Тестирование пользовательского опыта.xlsx</x:v>
      </x:c>
    </x:row>
    <x:row r="3">
      <x:c r="A3" s="52" t="str">
        <x:v>ENV-02</x:v>
      </x:c>
      <x:c r="B3" s="67" t="str">
        <x:v>Android Studio Emulator</x:v>
      </x:c>
      <x:c r="C3" s="67" t="str">
        <x:v>Pixel 4</x:v>
      </x:c>
      <x:c r="D3" s="67" t="str">
        <x:v>Android API 36</x:v>
      </x:c>
      <x:c r="E3" s="67" t="str">
        <x:v>Debug build</x:v>
      </x:c>
      <x:c r="F3" s="67" t="str">
        <x:v>UI, functional, network and performance checks</x:v>
      </x:c>
      <x:c r="G3" s="53" t="str">
        <x:v>Тестирование интерфейса мобильного приложения. (1).xlsx</x:v>
      </x:c>
    </x:row>
    <x:row r="5">
      <x:c r="A5" s="39" t="str">
        <x:v>Limitations and assumptions</x:v>
      </x:c>
      <x:c r="B5" s="39"/>
      <x:c r="C5" s="39"/>
      <x:c r="D5" s="39"/>
      <x:c r="E5" s="39"/>
      <x:c r="F5" s="39"/>
      <x:c r="G5" s="39"/>
    </x:row>
    <x:row r="6">
      <x:c r="A6" s="44" t="str">
        <x:v>Physical device</x:v>
      </x:c>
      <x:c r="B6" s="42" t="str">
        <x:v>Not used in the source artifacts.</x:v>
      </x:c>
      <x:c r="C6" s="42" t="str"/>
      <x:c r="D6" s="42" t="str"/>
      <x:c r="E6" s="42" t="str"/>
      <x:c r="F6" s="42" t="str"/>
      <x:c r="G6" s="42" t="str"/>
    </x:row>
    <x:row r="7">
      <x:c r="A7" s="44" t="str">
        <x:v>Application version</x:v>
      </x:c>
      <x:c r="B7" s="42" t="str">
        <x:v>Not recorded in the source artifacts.</x:v>
      </x:c>
      <x:c r="C7" s="42" t="str"/>
      <x:c r="D7" s="42" t="str"/>
      <x:c r="E7" s="42" t="str"/>
      <x:c r="F7" s="42" t="str"/>
      <x:c r="G7" s="42" t="str"/>
    </x:row>
    <x:row r="8">
      <x:c r="A8" s="44" t="str">
        <x:v>Execution date</x:v>
      </x:c>
      <x:c r="B8" s="42" t="str">
        <x:v>Not recorded in the source artifacts.</x:v>
      </x:c>
      <x:c r="C8" s="42" t="str"/>
      <x:c r="D8" s="42" t="str"/>
      <x:c r="E8" s="42" t="str"/>
      <x:c r="F8" s="42" t="str"/>
      <x:c r="G8" s="42" t="str"/>
    </x:row>
    <x:row r="9">
      <x:c r="A9" s="44" t="str">
        <x:v>Requirements</x:v>
      </x:c>
      <x:c r="B9" s="42" t="str">
        <x:v>Formal API contract and source code were unavailable; UX checks used course requirements and design mockups.</x:v>
      </x:c>
      <x:c r="C9" s="42" t="str"/>
      <x:c r="D9" s="42" t="str"/>
      <x:c r="E9" s="42" t="str"/>
      <x:c r="F9" s="42" t="str"/>
      <x:c r="G9" s="42" t="str"/>
    </x:row>
    <x:row r="10">
      <x:c r="A10" s="44" t="str">
        <x:v>Onboarding conflict</x:v>
      </x:c>
      <x:c r="B10" s="42" t="str">
        <x:v>Passed and Failed results exist in different source rows; a controlled re-test is required.</x:v>
      </x:c>
      <x:c r="C10" s="42" t="str"/>
      <x:c r="D10" s="42" t="str"/>
      <x:c r="E10" s="42" t="str"/>
      <x:c r="F10" s="42" t="str"/>
      <x:c r="G10" s="42" t="str"/>
    </x:row>
  </x:sheetData>
  <x:mergeCells>
    <x:mergeCell ref="A5:G5"/>
    <x:mergeCell ref="B6:G6"/>
    <x:mergeCell ref="B7:G7"/>
    <x:mergeCell ref="B8:G8"/>
    <x:mergeCell ref="B9:G9"/>
    <x:mergeCell ref="B10:G10"/>
  </x:mergeCells>
  <x:pageMargins left="0.7" right="0.7" top="0.75" bottom="0.75" header="0.3" footer="0.3"/>
  <x:tableParts count="1">
    <x:tablePart xmlns:r="http://schemas.openxmlformats.org/officeDocument/2006/relationships" r:id="R5f98698a37c6428c"/>
  </x:tableParts>
</x:worksheet>
</file>