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c0710b3a3449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db5f2866d1c43f7"/>
    <x:sheet xmlns:r="http://schemas.openxmlformats.org/officeDocument/2006/relationships" name="Bug Reports" sheetId="2" r:id="R6f6b659264954a3f"/>
    <x:sheet xmlns:r="http://schemas.openxmlformats.org/officeDocument/2006/relationships" name="Test Checklist" sheetId="3" r:id="Rc516b552ddf44050"/>
    <x:sheet xmlns:r="http://schemas.openxmlformats.org/officeDocument/2006/relationships" name="Technical Evidence" sheetId="4" r:id="Rce3019ab26b844db"/>
    <x:sheet xmlns:r="http://schemas.openxmlformats.org/officeDocument/2006/relationships" name="Environment" sheetId="5" r:id="R5ef64103ccea4b10"/>
    <x:sheet xmlns:r="http://schemas.openxmlformats.org/officeDocument/2006/relationships" name="Legend" sheetId="6" r:id="Ra85015885a83428b"/>
  </x:sheets>
</x:workbook>
</file>

<file path=xl/sharedStrings.xml><?xml version="1.0" encoding="utf-8"?>
<x:sst xmlns:x="http://schemas.openxmlformats.org/spreadsheetml/2006/main">
  <x:si>
    <x:t xml:space="preserve">QA Test Report — Android Game</x:t>
  </x:si>
  <x:si>
    <x:t xml:space="preserve">Priority</x:t>
  </x:si>
  <x:si>
    <x:t xml:space="preserve">Count</x:t>
  </x:si>
  <x:si>
    <x:t xml:space="preserve">Project / Game</x:t>
  </x:si>
  <x:si>
    <x:t xml:space="preserve">Spider Hero 2 / Spider Fighter 3D</x:t>
  </x:si>
  <x:si>
    <x:t xml:space="preserve">highest</x:t>
  </x:si>
  <x:si>
    <x:t xml:space="preserve">Build</x:t>
  </x:si>
  <x:si>
    <x:t xml:space="preserve">game: 0.0.1.1686131318</x:t>
  </x:si>
  <x:si>
    <x:t xml:space="preserve">high</x:t>
  </x:si>
  <x:si>
    <x:t xml:space="preserve">Package</x:t>
  </x:si>
  <x:si>
    <x:t xml:space="preserve">com.starplay.spider.fighter3d</x:t>
  </x:si>
  <x:si>
    <x:t xml:space="preserve">medium</x:t>
  </x:si>
  <x:si>
    <x:t xml:space="preserve">Environment</x:t>
  </x:si>
  <x:si>
    <x:t xml:space="preserve">Android Studio Emulator, Pixel 4, Android API 36, macOS 26.4</x:t>
  </x:si>
  <x:si>
    <x:t xml:space="preserve">low</x:t>
  </x:si>
  <x:si>
    <x:t xml:space="preserve">Test scope</x:t>
  </x:si>
  <x:si>
    <x:t xml:space="preserve">Manual functional testing, gameplay, ads, settings, shop/restore, basic Logcat analysis</x:t>
  </x:si>
  <x:si>
    <x:t xml:space="preserve">lowest</x:t>
  </x:si>
  <x:si>
    <x:t xml:space="preserve">Main blocker</x:t>
  </x:si>
  <x:si>
    <x:t xml:space="preserve">User is blocked on fullscreen advertisement with no in-game way to return to the game</x:t>
  </x:si>
  <x:si>
    <x:t xml:space="preserve">Total bug reports</x:t>
  </x:si>
  <x:si>
    <x:t xml:space="preserve">ID</x:t>
  </x:si>
  <x:si>
    <x:t xml:space="preserve">Area</x:t>
  </x:si>
  <x:si>
    <x:t xml:space="preserve">Severity</x:t>
  </x:si>
  <x:si>
    <x:t xml:space="preserve">Preconditions</x:t>
  </x:si>
  <x:si>
    <x:t xml:space="preserve">Steps to Reproduce</x:t>
  </x:si>
  <x:si>
    <x:t xml:space="preserve">Expected Result</x:t>
  </x:si>
  <x:si>
    <x:t xml:space="preserve">Actual Result</x:t>
  </x:si>
  <x:si>
    <x:t xml:space="preserve">Status</x:t>
  </x:si>
  <x:si>
    <x:t xml:space="preserve">Attachment / Evidence</x:t>
  </x:si>
  <x:si>
    <x:t xml:space="preserve">Notes</x:t>
  </x:si>
  <x:si>
    <x:t xml:space="preserve">BUG-ADS-001</x:t>
  </x:si>
  <x:si>
    <x:t xml:space="preserve">Пользователь заблокирован на fullscreen advertisement без способа вернуться в игру</x:t>
  </x:si>
  <x:si>
    <x:t xml:space="preserve">Ads</x:t>
  </x:si>
  <x:si>
    <x:t xml:space="preserve">Blocker</x:t>
  </x:si>
  <x:si>
    <x:t xml:space="preserve">Игра установлена. Интернет включен. Пользователь находится в игровом процессе или после завершения/смерти персонажа.</x:t>
  </x:si>
  <x:si>
    <x:t xml:space="preserve">1. Запустить игру.
2. Начать battle/level.
3. Завершить уровень или дождаться смерти персонажа.
4. Нажать Restart / перейти к следующей попытке.
5. Дождаться появления fullscreen advertisement.
6. Попытаться закрыть рекламу.
7. Нажать на видимый control в верхнем левом углу.
8. Выбрать любой пункт feedback menu.
9. Попытаться вернуться в игру.</x:t>
  </x:si>
  <x:si>
    <x:t xml:space="preserve">Пользователь должен иметь понятный и доступный способ закрыть fullscreen advertisement и вернуться в игру / продолжить gameplay.</x:t>
  </x:si>
  <x:si>
    <x:t xml:space="preserve">Fullscreen advertisement невозможно закрыть. Видимой рабочей кнопки Close/X нет. Нажатие на control открывает feedback menu рекламы, но не возвращает в игру. Единственный workaround — вручную свернуть игру, открыть Recent Apps и закрыть приложение, затем запустить заново.</x:t>
  </x:si>
  <x:si>
    <x:t xml:space="preserve">Open</x:t>
  </x:si>
  <x:si>
    <x:t xml:space="preserve"> Screen_recording_20260609_235951.webm  
https://drive.google.com/file/d/1CLGOFLyFbFD7v3B2Or0ZMiGC4pNspBcp/view?usp=sharing</x:t>
  </x:si>
  <x:si>
    <x:t xml:space="preserve">Logcat показывает gameplay events LevelPlay Start/Complete и запуск fullscreen ad flow. Баг блокирует основной игровой сценарий. Связан с BUG-UI-001</x:t>
  </x:si>
  <x:si>
    <x:t xml:space="preserve">BUG-ADS-002</x:t>
  </x:si>
  <x:si>
    <x:t xml:space="preserve">Реклама появляется после смерти персонажа / Restart и прерывает restart flow</x:t>
  </x:si>
  <x:si>
    <x:t xml:space="preserve">Ads / Restart Flow</x:t>
  </x:si>
  <x:si>
    <x:t xml:space="preserve">Major</x:t>
  </x:si>
  <x:si>
    <x:t xml:space="preserve">Персонаж погиб. На экране доступна кнопка Restart.</x:t>
  </x:si>
  <x:si>
    <x:t xml:space="preserve">1. Запустить игру.
2. Начать бой.
3. Довести персонажа до смерти.
4. Нажать Restart.
5. Наблюдать дальнейший flow.</x:t>
  </x:si>
  <x:si>
    <x:t xml:space="preserve">После нажатия Restart игра должна корректно перезапустить бой. Если реклама показывается, она не должна блокировать возвращение в игру.</x:t>
  </x:si>
  <x:si>
    <x:t xml:space="preserve">После смерти персонажа и нажатия Restart запускается реклама, которая прерывает flow перезапуска. В связке с BUG-ADS-001 пользователь может быть полностью заблокирован.</x:t>
  </x:si>
  <x:si>
    <x:t xml:space="preserve">Можно связать с BUG-ADS-001 как зависимый сценарий.</x:t>
  </x:si>
  <x:si>
    <x:t xml:space="preserve">BUG-SET-001</x:t>
  </x:si>
  <x:si>
    <x:t xml:space="preserve">Restore Purchases не показывает пользователю результат или feedback</x:t>
  </x:si>
  <x:si>
    <x:t xml:space="preserve">Settings / Purchases</x:t>
  </x:si>
  <x:si>
    <x:t xml:space="preserve">Открыт экран Settings.</x:t>
  </x:si>
  <x:si>
    <x:t xml:space="preserve">1. Запустить игру.
2. Открыть Settings.
3. Нажать Restore Purchases.
4. Наблюдать результат.</x:t>
  </x:si>
  <x:si>
    <x:t xml:space="preserve">После нажатия Restore Purchases пользователь должен получить понятный feedback: purchases restored / no purchases found / restore failed / billing unavailable.</x:t>
  </x:si>
  <x:si>
    <x:t xml:space="preserve">После нажатия Restore Purchases визуально ничего не происходит: нет сообщения, loader, ошибки или результата восстановления.</x:t>
  </x:si>
  <x:si>
    <x:t xml:space="preserve">bug_restore_purchases.txt</x:t>
  </x:si>
  <x:si>
    <x:t xml:space="preserve">В Logcat не видно явного Restore/Billing/IAP processing; в основном системные записи Google Play Services.</x:t>
  </x:si>
  <x:si>
    <x:t xml:space="preserve">BUG-SET-002</x:t>
  </x:si>
  <x:si>
    <x:t xml:space="preserve">Выбранный язык не применяется к интерфейсу игры</x:t>
  </x:si>
  <x:si>
    <x:t xml:space="preserve">Settings / Localization</x:t>
  </x:si>
  <x:si>
    <x:t xml:space="preserve">Открыт экран Settings. Доступен Language selector.</x:t>
  </x:si>
  <x:si>
    <x:t xml:space="preserve">1. Запустить игру.
2. Открыть Settings.
3. Изменить Language на другой язык.
4. Вернуться в меню / gameplay.
5. Проверить тексты интерфейса.
6. Перезапустить приложение и проверить язык повторно.</x:t>
  </x:si>
  <x:si>
    <x:t xml:space="preserve">После выбора языка интерфейс игры должен применить выбранную локализацию и сохранить настройку после перезапуска.</x:t>
  </x:si>
  <x:si>
    <x:t xml:space="preserve">Язык не меняется: интерфейс остается на прежнем языке. Пользователь не видит примененного результата.</x:t>
  </x:si>
  <x:si>
    <x:t xml:space="preserve">BUG-SET-003</x:t>
  </x:si>
  <x:si>
    <x:t xml:space="preserve">Настройка Graphics Low / Medium / High визуально не меняет качество графики</x:t>
  </x:si>
  <x:si>
    <x:t xml:space="preserve">Settings / Graphics</x:t>
  </x:si>
  <x:si>
    <x:t xml:space="preserve">Minor</x:t>
  </x:si>
  <x:si>
    <x:t xml:space="preserve">Открыт экран Settings. Доступны Graphics Low / Medium / High.</x:t>
  </x:si>
  <x:si>
    <x:t xml:space="preserve">1. Запустить игру.
2. Открыть Settings.
3. Установить Graphics = Low.
4. Сделать screenshot одного и того же gameplay ракурса.
5. Установить Graphics = Medium и повторить.
6. Установить Graphics = High и повторить.
7. Сравнить тени, текстуры, дальность прорисовки, сглаживание.</x:t>
  </x:si>
  <x:si>
    <x:t xml:space="preserve">Качество графики должно заметно изменяться в зависимости от выбранного уровня Low / Medium / High либо настройка должна явно объяснять, что изменения применятся после перезапуска.</x:t>
  </x:si>
  <x:si>
    <x:t xml:space="preserve">Визуальной разницы между Low / Medium / High не наблюдается. Создается впечатление, что настройка не применяется.</x:t>
  </x:si>
  <x:si>
    <x:t xml:space="preserve">BUG-SHOP-001</x:t>
  </x:si>
  <x:si>
    <x:t xml:space="preserve">Кнопка Shop не открывает экран магазина</x:t>
  </x:si>
  <x:si>
    <x:t xml:space="preserve">Shop / Monetization</x:t>
  </x:si>
  <x:si>
    <x:t xml:space="preserve">Пользователь находится в главном меню. Видна кнопка Shop.</x:t>
  </x:si>
  <x:si>
    <x:t xml:space="preserve">1. Запустить игру.
2. На главном экране нажать Shop.
3. Наблюдать результат.
4. Повторить нажатие несколько раз.</x:t>
  </x:si>
  <x:si>
    <x:t xml:space="preserve">После нажатия Shop должен открыться экран магазина с товарами/покупками или должно появиться понятное сообщение об ошибке.</x:t>
  </x:si>
  <x:si>
    <x:t xml:space="preserve">Кнопка Shop не открывает новый экран и визуально никуда не ведет. Пользователь не понимает, сработало действие или нет.</x:t>
  </x:si>
  <x:si>
    <x:t xml:space="preserve">Screen_recording_20260610_000717.webm</x:t>
  </x:si>
  <x:si>
    <x:t xml:space="preserve">BUG-GAME-001</x:t>
  </x:si>
  <x:si>
    <x:t xml:space="preserve">Персонаж падает за пределы playable area и зависает в пустоте</x:t>
  </x:si>
  <x:si>
    <x:t xml:space="preserve">Gameplay / Map / Physics</x:t>
  </x:si>
  <x:si>
    <x:t xml:space="preserve">Пользователь находится в gameplay. Персонаж находится на здании/рядом с краем здания.</x:t>
  </x:si>
  <x:si>
    <x:t xml:space="preserve">1. Запустить игру.
2. Начать gameplay.
3. Подняться/попасть на здание.
4. Упасть с края здания или в зону между объектами.
5. Наблюдать состояние персонажа.</x:t>
  </x:si>
  <x:si>
    <x:t xml:space="preserve">Если персонаж падает за пределы playable area, игра должна корректно обработать состояние: respawn, death state, restart или возврат на карту.</x:t>
  </x:si>
  <x:si>
    <x:t xml:space="preserve">После поражения персонаж падает со здания и зависает в пустоте. Нельзя нормально продолжить gameplay из этого состояния.</x:t>
  </x:si>
  <x:si>
    <x:t xml:space="preserve"> Screen_recording_20260609_204849.webm</x:t>
  </x:si>
  <x:si>
    <x:t xml:space="preserve">BUG-GAME-002</x:t>
  </x:si>
  <x:si>
    <x:t xml:space="preserve">Враги с оружием прицеливаются, но не стреляют</x:t>
  </x:si>
  <x:si>
    <x:t xml:space="preserve">Combat / Enemy AI</x:t>
  </x:si>
  <x:si>
    <x:t xml:space="preserve">Начат бой. Рядом находятся два enemies with guns.</x:t>
  </x:si>
  <x:si>
    <x:t xml:space="preserve">1. Запустить игру.
2. Начать бой.
3. Подойти к enemies with guns.
4. Оставаться в зоне видимости 10–20 секунд.
5. Наблюдать поведение врагов.</x:t>
  </x:si>
  <x:si>
    <x:t xml:space="preserve">Враги с оружием должны стрелять/атаковать персонажа, если они находятся в боевом состоянии и прицеливаются.</x:t>
  </x:si>
  <x:si>
    <x:t xml:space="preserve">Два врага с пистолетами прицеливаются в главного персонажа, но не стреляют. Боевая угроза не реализуется/не срабатывает.</x:t>
  </x:si>
  <x:si>
    <x:t xml:space="preserve">Screen_recording_20260609_210737.webm</x:t>
  </x:si>
  <x:si>
    <x:t xml:space="preserve">BUG-UI-001</x:t>
  </x:si>
  <x:si>
    <x:t xml:space="preserve">Ad control вводит в заблуждение: открывает feedback menu вместо закрытия рекламы</x:t>
  </x:si>
  <x:si>
    <x:t xml:space="preserve">Ads / UI</x:t>
  </x:si>
  <x:si>
    <x:t xml:space="preserve">Fullscreen advertisement displayed.</x:t>
  </x:si>
  <x:si>
    <x:t xml:space="preserve">1. Дождаться появления fullscreen advertisement.
2. Найти видимый control/иконку в углу рекламы.
3. Нажать на него.
4. Выбрать endpoint/feedback option.
5. Наблюдать результат.</x:t>
  </x:si>
  <x:si>
    <x:t xml:space="preserve">Control, расположенный как элемент выхода/управления рекламой, должен позволять закрыть рекламу либо явно показывать доступный Close/X.</x:t>
  </x:si>
  <x:si>
    <x:t xml:space="preserve">Нажатие открывает feedback/report menu. После выбора пункта отображается сообщение Thank you for your feedback, но реклама не закрывается и возврата в игру нет.</x:t>
  </x:si>
  <x:si>
    <x:t xml:space="preserve">см. BUG-ADS-001</x:t>
  </x:si>
  <x:si>
    <x:t xml:space="preserve">BUG-UI-002</x:t>
  </x:si>
  <x:si>
    <x:t xml:space="preserve">Текст версии билда слишком мелкий и плохо читается в Settings</x:t>
  </x:si>
  <x:si>
    <x:t xml:space="preserve">UI / Settings</x:t>
  </x:si>
  <x:si>
    <x:t xml:space="preserve">Trivial</x:t>
  </x:si>
  <x:si>
    <x:t xml:space="preserve">1. Запустить игру.
2. Открыть Settings.
3. Найти информацию о версии/билде.
4. Оценить читаемость.</x:t>
  </x:si>
  <x:si>
    <x:t xml:space="preserve">Версия билда должна быть читаемой, так как по тестовому заданию нужно убедиться, что установлен правильный build.</x:t>
  </x:si>
  <x:si>
    <x:t xml:space="preserve">Текст версии/билда отображается очень мелко и плохо читается на экране эмулятора.</x:t>
  </x:si>
  <x:si>
    <x:t xml:space="preserve">Check</x:t>
  </x:si>
  <x:si>
    <x:t xml:space="preserve">Comment</x:t>
  </x:si>
  <x:si>
    <x:t xml:space="preserve">SMK-001</x:t>
  </x:si>
  <x:si>
    <x:t xml:space="preserve">Install / Launch</x:t>
  </x:si>
  <x:si>
    <x:t xml:space="preserve">Установить APK и запустить игру</x:t>
  </x:si>
  <x:si>
    <x:t xml:space="preserve">Игра устанавливается и запускается</x:t>
  </x:si>
  <x:si>
    <x:t xml:space="preserve">Игра установлена и запущена</x:t>
  </x:si>
  <x:si>
    <x:t xml:space="preserve">Passed</x:t>
  </x:si>
  <x:si>
    <x:t xml:space="preserve">APK установлен на Android Studio Emulator</x:t>
  </x:si>
  <x:si>
    <x:t xml:space="preserve">SMK-002</x:t>
  </x:si>
  <x:si>
    <x:t xml:space="preserve">Проверить build version</x:t>
  </x:si>
  <x:si>
    <x:t xml:space="preserve">Отображается game: 0.0.1.1686131318</x:t>
  </x:si>
  <x:si>
    <x:t xml:space="preserve">Версия соответствует, но плохо читается</x:t>
  </x:si>
  <x:si>
    <x:t xml:space="preserve">Passed with note</x:t>
  </x:si>
  <x:si>
    <x:t xml:space="preserve">См. BUG-UI-002</x:t>
  </x:si>
  <x:si>
    <x:t xml:space="preserve">PAUSE-001</x:t>
  </x:si>
  <x:si>
    <x:t xml:space="preserve">Pause Menu</x:t>
  </x:si>
  <x:si>
    <x:t xml:space="preserve">Нажать Pause во время боя</x:t>
  </x:si>
  <x:si>
    <x:t xml:space="preserve">Игра останавливается</x:t>
  </x:si>
  <x:si>
    <x:t xml:space="preserve">PAUSE-002</x:t>
  </x:si>
  <x:si>
    <x:t xml:space="preserve">Нажать Resume</x:t>
  </x:si>
  <x:si>
    <x:t xml:space="preserve">Игра продолжается</x:t>
  </x:si>
  <x:si>
    <x:t xml:space="preserve">PAUSE-003</x:t>
  </x:si>
  <x:si>
    <x:t xml:space="preserve">Нажать Settings из Pause</x:t>
  </x:si>
  <x:si>
    <x:t xml:space="preserve">Настройки открываются</x:t>
  </x:si>
  <x:si>
    <x:t xml:space="preserve">PAUSE-004</x:t>
  </x:si>
  <x:si>
    <x:t xml:space="preserve">Изменить звук в Pause Settings</x:t>
  </x:si>
  <x:si>
    <x:t xml:space="preserve">Звук меняется сразу</x:t>
  </x:si>
  <x:si>
    <x:t xml:space="preserve">PAUSE-005</x:t>
  </x:si>
  <x:si>
    <x:t xml:space="preserve">Нажать Exit Battle</x:t>
  </x:si>
  <x:si>
    <x:t xml:space="preserve">Выход из боя работает</x:t>
  </x:si>
  <x:si>
    <x:t xml:space="preserve">PAUSE-006</x:t>
  </x:si>
  <x:si>
    <x:t xml:space="preserve">Нажать Android Back в Pause</x:t>
  </x:si>
  <x:si>
    <x:t xml:space="preserve">Поведение корректное</x:t>
  </x:si>
  <x:si>
    <x:t xml:space="preserve">PAUSE-007</x:t>
  </x:si>
  <x:si>
    <x:t xml:space="preserve">Быстро нажимать Pause/Resume</x:t>
  </x:si>
  <x:si>
    <x:t xml:space="preserve">Game state не ломается</x:t>
  </x:si>
  <x:si>
    <x:t xml:space="preserve">ADS-001</x:t>
  </x:si>
  <x:si>
    <x:t xml:space="preserve">Проверить закрытие fullscreen ad</x:t>
  </x:si>
  <x:si>
    <x:t xml:space="preserve">Рекламу можно закрыть и вернуться в игру</x:t>
  </x:si>
  <x:si>
    <x:t xml:space="preserve">Выйти из рекламы нельзя</x:t>
  </x:si>
  <x:si>
    <x:t xml:space="preserve">Failed</x:t>
  </x:si>
  <x:si>
    <x:t xml:space="preserve">См. BUG-ADS-001</x:t>
  </x:si>
  <x:si>
    <x:t xml:space="preserve">ADS-002</x:t>
  </x:si>
  <x:si>
    <x:t xml:space="preserve">Restart после смерти → реклама</x:t>
  </x:si>
  <x:si>
    <x:t xml:space="preserve">Реклама не блокирует restart flow</x:t>
  </x:si>
  <x:si>
    <x:t xml:space="preserve">Реклама прерывает restart flow</x:t>
  </x:si>
  <x:si>
    <x:t xml:space="preserve">См. BUG-ADS-002</x:t>
  </x:si>
  <x:si>
    <x:t xml:space="preserve">ADS-003</x:t>
  </x:si>
  <x:si>
    <x:t xml:space="preserve">Нажать ad control в углу</x:t>
  </x:si>
  <x:si>
    <x:t xml:space="preserve">Control должен закрыть рекламу или показать понятный Close</x:t>
  </x:si>
  <x:si>
    <x:t xml:space="preserve">Открывается feedback menu, возврата в игру нет</x:t>
  </x:si>
  <x:si>
    <x:t xml:space="preserve">См. BUG-UI-001</x:t>
  </x:si>
  <x:si>
    <x:t xml:space="preserve">SET-001</x:t>
  </x:si>
  <x:si>
    <x:t xml:space="preserve">Settings</x:t>
  </x:si>
  <x:si>
    <x:t xml:space="preserve">Restore Purchases</x:t>
  </x:si>
  <x:si>
    <x:t xml:space="preserve">Есть feedback/result message</x:t>
  </x:si>
  <x:si>
    <x:t xml:space="preserve">Нет видимого результата</x:t>
  </x:si>
  <x:si>
    <x:t xml:space="preserve">См. BUG-SET-001</x:t>
  </x:si>
  <x:si>
    <x:t xml:space="preserve">SET-002</x:t>
  </x:si>
  <x:si>
    <x:t xml:space="preserve">Language change</x:t>
  </x:si>
  <x:si>
    <x:t xml:space="preserve">Язык UI меняется и сохраняется</x:t>
  </x:si>
  <x:si>
    <x:t xml:space="preserve">Язык не меняется</x:t>
  </x:si>
  <x:si>
    <x:t xml:space="preserve">См. BUG-SET-002</x:t>
  </x:si>
  <x:si>
    <x:t xml:space="preserve">SET-003</x:t>
  </x:si>
  <x:si>
    <x:t xml:space="preserve">Graphics Low/Medium/High</x:t>
  </x:si>
  <x:si>
    <x:t xml:space="preserve">Визуальное качество меняется</x:t>
  </x:si>
  <x:si>
    <x:t xml:space="preserve">Разницы не видно</x:t>
  </x:si>
  <x:si>
    <x:t xml:space="preserve">См. BUG-SET-003</x:t>
  </x:si>
  <x:si>
    <x:t xml:space="preserve">SHOP-001</x:t>
  </x:si>
  <x:si>
    <x:t xml:space="preserve">Shop</x:t>
  </x:si>
  <x:si>
    <x:t xml:space="preserve">Нажать Shop</x:t>
  </x:si>
  <x:si>
    <x:t xml:space="preserve">Открывается магазин</x:t>
  </x:si>
  <x:si>
    <x:t xml:space="preserve">Кнопка никуда не ведет</x:t>
  </x:si>
  <x:si>
    <x:t xml:space="preserve">См. BUG-SHOP-001</x:t>
  </x:si>
  <x:si>
    <x:t xml:space="preserve">GAME-001</x:t>
  </x:si>
  <x:si>
    <x:t xml:space="preserve">Map / Physics</x:t>
  </x:si>
  <x:si>
    <x:t xml:space="preserve">Падение персонажа со здания</x:t>
  </x:si>
  <x:si>
    <x:t xml:space="preserve">Respawn/death/restart или возврат на карту</x:t>
  </x:si>
  <x:si>
    <x:t xml:space="preserve">Персонаж зависает в пустоте</x:t>
  </x:si>
  <x:si>
    <x:t xml:space="preserve">GAME-002</x:t>
  </x:si>
  <x:si>
    <x:t xml:space="preserve">Combat</x:t>
  </x:si>
  <x:si>
    <x:t xml:space="preserve">Враги с оружием атакуют</x:t>
  </x:si>
  <x:si>
    <x:t xml:space="preserve">Враги стреляют/наносят урон</x:t>
  </x:si>
  <x:si>
    <x:t xml:space="preserve">Враги целятся, но не стреляют</x:t>
  </x:si>
  <x:si>
    <x:t xml:space="preserve">См. BUG-GAME-002</x:t>
  </x:si>
  <x:si>
    <x:t xml:space="preserve">LIFE-001</x:t>
  </x:si>
  <x:si>
    <x:t xml:space="preserve">Android Lifecycle</x:t>
  </x:si>
  <x:si>
    <x:t xml:space="preserve">Перезапуск после блокирующей рекламы</x:t>
  </x:si>
  <x:si>
    <x:t xml:space="preserve">Не требуется force close</x:t>
  </x:si>
  <x:si>
    <x:t xml:space="preserve">Единственный выход — закрыть приложение через Recent Apps</x:t>
  </x:si>
  <x:si>
    <x:t xml:space="preserve">Связано с BUG-ADS-001</x:t>
  </x:si>
  <x:si>
    <x:t xml:space="preserve">Artifact</x:t>
  </x:si>
  <x:si>
    <x:t xml:space="preserve">Related Bug</x:t>
  </x:si>
  <x:si>
    <x:t xml:space="preserve">Tool</x:t>
  </x:si>
  <x:si>
    <x:t xml:space="preserve">What it confirms</x:t>
  </x:si>
  <x:si>
    <x:t xml:space="preserve">EVD-001</x:t>
  </x:si>
  <x:si>
    <x:t xml:space="preserve">bug_ad_cannot_close(1).txt</x:t>
  </x:si>
  <x:si>
    <x:t xml:space="preserve">BUG-ADS-001 / BUG-ADS-002</x:t>
  </x:si>
  <x:si>
    <x:t xml:space="preserve">Logcat</x:t>
  </x:si>
  <x:si>
    <x:t xml:space="preserve">Unity/AppMetrica LevelPlayTriggered, LevelPlay Start/Complete, online state, level 14</x:t>
  </x:si>
  <x:si>
    <x:t xml:space="preserve">Подтверждает gameplay flow перед появлением проблемной рекламы.</x:t>
  </x:si>
  <x:si>
    <x:t xml:space="preserve">EVD-002</x:t>
  </x:si>
  <x:si>
    <x:t xml:space="preserve">bug_ad_cannot_close(2).txt</x:t>
  </x:si>
  <x:si>
    <x:t xml:space="preserve">Повторное подтверждение LevelPlay Start/Complete и активности com.starplay.spider.fighter3d</x:t>
  </x:si>
  <x:si>
    <x:t xml:space="preserve">Использовать как дополнительный лог к blocker ads issue.</x:t>
  </x:si>
  <x:si>
    <x:t xml:space="preserve">EVD-003</x:t>
  </x:si>
  <x:si>
    <x:t xml:space="preserve">bug_restore_purchases(1).txt</x:t>
  </x:si>
  <x:si>
    <x:t xml:space="preserve">В логе нет явных Restore/Purchase/Billing/IAP событий после действия</x:t>
  </x:si>
  <x:si>
    <x:t xml:space="preserve">Поддерживает вывод: нет видимого результата/feedback для пользователя.</x:t>
  </x:si>
  <x:si>
    <x:t xml:space="preserve">EVD-004</x:t>
  </x:si>
  <x:si>
    <x:t xml:space="preserve">Screenshots</x:t>
  </x:si>
  <x:si>
    <x:t xml:space="preserve">BUG-ADS-001 / BUG-UI-001</x:t>
  </x:si>
  <x:si>
    <x:t xml:space="preserve">Screenshot</x:t>
  </x:si>
  <x:si>
    <x:t xml:space="preserve">Видно fullscreen ad, feedback menu и отсутствие нормального Close flow</x:t>
  </x:si>
  <x:si>
    <x:t xml:space="preserve">Приложить в Google Drive и указать ссылки в финальной таблице.</x:t>
  </x:si>
  <x:si>
    <x:t xml:space="preserve">EVD-005</x:t>
  </x:si>
  <x:si>
    <x:t xml:space="preserve">Screen recording</x:t>
  </x:si>
  <x:si>
    <x:t xml:space="preserve">BUG-ADS-001 / BUG-GAME-001</x:t>
  </x:si>
  <x:si>
    <x:t xml:space="preserve">Video</x:t>
  </x:si>
  <x:si>
    <x:t xml:space="preserve">Динамические баги: реклама не закрывается, персонаж зависает в void</x:t>
  </x:si>
  <x:si>
    <x:t xml:space="preserve">Видео особенно важно для blocker/gameplay defects.</x:t>
  </x:si>
  <x:si>
    <x:t xml:space="preserve">Parameter</x:t>
  </x:si>
  <x:si>
    <x:t xml:space="preserve">Value</x:t>
  </x:si>
  <x:si>
    <x:t xml:space="preserve">Application / Game</x:t>
  </x:si>
  <x:si>
    <x:t xml:space="preserve">Package name</x:t>
  </x:si>
  <x:si>
    <x:t xml:space="preserve">Activity</x:t>
  </x:si>
  <x:si>
    <x:t xml:space="preserve">com.superlevel.fighting.GameActivity</x:t>
  </x:si>
  <x:si>
    <x:t xml:space="preserve">Emulator Version</x:t>
  </x:si>
  <x:si>
    <x:t xml:space="preserve">36.3.10-14472402 (HVF 26.4.0)</x:t>
  </x:si>
  <x:si>
    <x:t xml:space="preserve">Android Version</x:t>
  </x:si>
  <x:si>
    <x:t xml:space="preserve">API 36</x:t>
  </x:si>
  <x:si>
    <x:t xml:space="preserve">Host OS</x:t>
  </x:si>
  <x:si>
    <x:t xml:space="preserve">macOS 26.4</x:t>
  </x:si>
  <x:si>
    <x:t xml:space="preserve">Device Name</x:t>
  </x:si>
  <x:si>
    <x:t xml:space="preserve">Pixel_4</x:t>
  </x:si>
  <x:si>
    <x:t xml:space="preserve">CPU/ABI</x:t>
  </x:si>
  <x:si>
    <x:t xml:space="preserve">x86_64</x:t>
  </x:si>
  <x:si>
    <x:t xml:space="preserve">RAM</x:t>
  </x:si>
  <x:si>
    <x:t xml:space="preserve">2048 MB</x:t>
  </x:si>
  <x:si>
    <x:t xml:space="preserve">Screen</x:t>
  </x:si>
  <x:si>
    <x:t xml:space="preserve">1080 x 2280, density 440</x:t>
  </x:si>
  <x:si>
    <x:t xml:space="preserve">Network</x:t>
  </x:si>
  <x:si>
    <x:t xml:space="preserve">Wi‑Fi / Online true in logs</x:t>
  </x:si>
  <x:si>
    <x:t xml:space="preserve">Tools</x:t>
  </x:si>
  <x:si>
    <x:t xml:space="preserve">Android Studio Emulator, ADB, Logcat, Screen Recorder, Screenshots, Google Sheets</x:t>
  </x:si>
  <x:si>
    <x:t xml:space="preserve">Test type</x:t>
  </x:si>
  <x:si>
    <x:t xml:space="preserve">Manual functional + gameplay + ads + settings + basic technical log analysis</x:t>
  </x:si>
  <x:si>
    <x:t xml:space="preserve">Test date</x:t>
  </x:si>
  <x:si>
    <x:t xml:space="preserve">2026-06-09</x:t>
  </x:si>
  <x:si>
    <x:t xml:space="preserve">Meaning / Когда использовать</x:t>
  </x:si>
  <x:si>
    <x:t xml:space="preserve">Color</x:t>
  </x:si>
  <x:si>
    <x:t xml:space="preserve">Блокер: невозможно продолжить основной сценарий, нужен force close/relaunch, потеря прогресса, критичный crash.</x:t>
  </x:si>
  <x:si>
    <x:t xml:space="preserve">Dark red</x:t>
  </x:si>
  <x:si>
    <x:t xml:space="preserve">Серьезная проблема: важная функция не работает, gameplay/monetization flow сильно нарушен.</x:t>
  </x:si>
  <x:si>
    <x:t xml:space="preserve">Red</x:t>
  </x:si>
  <x:si>
    <x:t xml:space="preserve">Функция работает некорректно или нет user feedback, но основной gameplay не полностью заблокирован.</x:t>
  </x:si>
  <x:si>
    <x:t xml:space="preserve">Orange</x:t>
  </x:si>
  <x:si>
    <x:t xml:space="preserve">Незначимый functional/UI issue, workaround есть, влияние ограниченное.</x:t>
  </x:si>
  <x:si>
    <x:t xml:space="preserve">Yellow</x:t>
  </x:si>
  <x:si>
    <x:t xml:space="preserve">Косметика/читабельность/мелкие замечания.</x:t>
  </x:si>
  <x:si>
    <x:t xml:space="preserve">Gray</x:t>
  </x:si>
  <x:si>
    <x:t xml:space="preserve">Meaning</x:t>
  </x:si>
  <x:si>
    <x:t xml:space="preserve">Баг воспроизводится и требует исправления.</x:t>
  </x:si>
  <x:si>
    <x:t xml:space="preserve">Проверка пройдена.</x:t>
  </x:si>
  <x:si>
    <x:t xml:space="preserve">Green</x:t>
  </x:si>
  <x:si>
    <x:t xml:space="preserve">Проверка провалена, есть дефект.</x:t>
  </x:si>
  <x:si>
    <x:t xml:space="preserve">Проверка пройдена, но есть замечание.</x:t>
  </x:si>
  <x:si>
    <x:t xml:space="preserve">Blue</x:t>
  </x:si>
  <x:si>
    <x:t xml:space="preserve">Need retest</x:t>
  </x:si>
  <x:si>
    <x:t xml:space="preserve">Нужно перепроверить с доп. условиями.</x:t>
  </x:si>
  <x:si>
    <x:t xml:space="preserve">Purple</x:t>
  </x:si>
</x:sst>
</file>

<file path=xl/styles.xml><?xml version="1.0" encoding="utf-8"?>
<x:styleSheet xmlns:x="http://schemas.openxmlformats.org/spreadsheetml/2006/main">
  <x:fonts count="13">
    <x:font>
      <x:sz val="11"/>
      <x:color rgb="FF000000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theme="1"/>
      <x:name val="Carlito"/>
    </x:font>
    <x:font>
      <x:sz val="11"/>
      <x:color theme="1"/>
      <x:name val="Carlito"/>
    </x:font>
    <x:font>
      <x:b/>
      <x:sz val="11"/>
      <x:color rgb="FF7F1D1D"/>
      <x:name val="Carlito"/>
    </x:font>
    <x:font>
      <x:b/>
      <x:sz val="11"/>
      <x:color rgb="FF991B1B"/>
      <x:name val="Carlito"/>
    </x:font>
    <x:font>
      <x:sz val="11"/>
      <x:color rgb="FF0000FF"/>
      <x:name val="Carlito"/>
    </x:font>
    <x:font>
      <x:sz val="11"/>
      <x:color theme="1"/>
      <x:name val="Carlito"/>
    </x:font>
    <x:font>
      <x:color theme="1"/>
      <x:name val="Carlito"/>
    </x:font>
    <x:font>
      <x:b/>
      <x:sz val="11"/>
      <x:color rgb="FF6B21A8"/>
      <x:name val="Carlito"/>
    </x:font>
    <x:font>
      <x:b/>
      <x:sz val="11"/>
      <x:color rgb="FF166534"/>
      <x:name val="Carlito"/>
    </x:font>
    <x:font>
      <x:b/>
      <x:sz val="11"/>
      <x:color rgb="FF1E40AF"/>
      <x:name val="Carlito"/>
    </x:font>
  </x:fonts>
  <x:fills count="16">
    <x:fill>
      <x:patternFill patternType="none"/>
    </x:fill>
    <x:fill>
      <x:patternFill patternType="lightGray"/>
    </x:fill>
    <x:fill>
      <x:patternFill patternType="solid">
        <x:fgColor rgb="FF0F172A"/>
      </x:patternFill>
    </x:fill>
    <x:fill>
      <x:patternFill patternType="solid">
        <x:fgColor rgb="FF1F4E78"/>
      </x:patternFill>
    </x:fill>
    <x:fill>
      <x:patternFill patternType="solid">
        <x:fgColor rgb="FFE0F2FE"/>
      </x:patternFill>
    </x:fill>
    <x:fill>
      <x:patternFill patternType="solid">
        <x:fgColor rgb="FF7F1D1D"/>
      </x:patternFill>
    </x:fill>
    <x:fill>
      <x:patternFill patternType="solid">
        <x:fgColor rgb="FFFCA5A5"/>
      </x:patternFill>
    </x:fill>
    <x:fill>
      <x:patternFill patternType="solid">
        <x:fgColor rgb="FFFEE2E2"/>
      </x:patternFill>
    </x:fill>
    <x:fill>
      <x:patternFill patternType="solid">
        <x:fgColor rgb="FFC1E4F5"/>
      </x:patternFill>
    </x:fill>
    <x:fill>
      <x:patternFill patternType="solid">
        <x:fgColor rgb="FFFFFFFF"/>
      </x:patternFill>
    </x:fill>
    <x:fill>
      <x:patternFill patternType="solid">
        <x:fgColor rgb="FFEEF2FF"/>
      </x:patternFill>
    </x:fill>
    <x:fill>
      <x:patternFill patternType="solid">
        <x:fgColor rgb="FFE0F2FE"/>
      </x:patternFill>
    </x:fill>
    <x:fill>
      <x:patternFill patternType="solid">
        <x:fgColor rgb="FFFEE2E2"/>
      </x:patternFill>
    </x:fill>
    <x:fill>
      <x:patternFill patternType="solid">
        <x:fgColor rgb="FFF3E8FF"/>
      </x:patternFill>
    </x:fill>
    <x:fill>
      <x:patternFill patternType="solid">
        <x:fgColor rgb="FFDCFCE7"/>
      </x:patternFill>
    </x:fill>
    <x:fill>
      <x:patternFill patternType="solid">
        <x:fgColor rgb="FFDBEAFE"/>
      </x:patternFill>
    </x:fill>
  </x:fills>
  <x:borders count="1">
    <x:border/>
  </x:borders>
  <x:cellStyleXfs count="1">
    <x:xf numFmtId="0" fontId="0" fillId="0" borderId="0" applyFont="1" applyAlignment="1"/>
  </x:cellStyleXfs>
  <x:cellXfs count="55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horizontal="center" vertical="center" wrapText="1"/>
    </x:xf>
    <x:xf numFmtId="0" fontId="2" fillId="3" borderId="0" xfId="0" applyFont="1" applyFill="1" applyAlignment="1">
      <x:alignment horizontal="center" vertical="center" wrapText="1"/>
    </x:xf>
    <x:xf numFmtId="0" fontId="3" fillId="4" borderId="0" xfId="0" applyFont="1" applyFill="1" applyAlignment="1">
      <x:alignment wrapText="1"/>
    </x:xf>
    <x:xf numFmtId="0" fontId="4" fillId="0" borderId="0" xfId="0" applyFont="1" applyAlignment="1">
      <x:alignment wrapText="1"/>
    </x:xf>
    <x:xf numFmtId="0" fontId="4" fillId="0" borderId="0" xfId="0" applyFont="1"/>
    <x:xf numFmtId="0" fontId="3" fillId="0" borderId="0" xfId="0" applyFont="1" applyAlignment="1">
      <x:alignment horizontal="left" wrapText="1"/>
    </x:xf>
    <x:xf numFmtId="0" fontId="2" fillId="5" borderId="0" xfId="0" applyFont="1" applyFill="1" applyAlignment="1">
      <x:alignment horizontal="left" wrapText="1"/>
    </x:xf>
    <x:xf numFmtId="0" fontId="5" fillId="6" borderId="0" xfId="0" applyFont="1" applyFill="1" applyAlignment="1">
      <x:alignment horizontal="left" wrapText="1"/>
    </x:xf>
    <x:xf numFmtId="0" fontId="6" fillId="7" borderId="0" xfId="0" applyFont="1" applyFill="1" applyAlignment="1">
      <x:alignment horizontal="left" wrapText="1"/>
    </x:xf>
    <x:xf numFmtId="0" fontId="2" fillId="3" borderId="0" xfId="0" applyFont="1" applyAlignment="1">
      <x:alignment horizontal="center" vertical="top" wrapText="1"/>
    </x:xf>
    <x:xf numFmtId="0" fontId="2" fillId="3" borderId="0" xfId="0" applyFont="1" applyAlignment="1">
      <x:alignment horizontal="center" vertical="top" wrapText="1"/>
    </x:xf>
    <x:xf numFmtId="0" fontId="4" fillId="0" borderId="0" xfId="0" applyFont="1" applyAlignment="1">
      <x:alignment vertical="top" wrapText="1"/>
    </x:xf>
    <x:xf numFmtId="0" fontId="4" fillId="8" borderId="0" xfId="0" applyFont="1" applyFill="1" applyAlignment="1">
      <x:alignment vertical="top" wrapText="1"/>
    </x:xf>
    <x:xf numFmtId="0" fontId="4" fillId="0" borderId="0" xfId="0" applyFont="1" applyAlignment="1">
      <x:alignment vertical="top" wrapText="1"/>
    </x:xf>
    <x:xf numFmtId="0" fontId="4" fillId="0" borderId="0" xfId="0" applyFont="1" applyAlignment="1">
      <x:alignment vertical="top" wrapText="1"/>
    </x:xf>
    <x:xf numFmtId="0" fontId="4" fillId="8" borderId="0" xfId="0" applyFont="1" applyAlignment="1">
      <x:alignment vertical="top" wrapText="1"/>
    </x:xf>
    <x:xf numFmtId="0" fontId="7" fillId="0" borderId="0" xfId="0" applyFont="1" applyAlignment="1">
      <x:alignment vertical="top" wrapText="1"/>
    </x:xf>
    <x:xf numFmtId="0" fontId="4" fillId="9" borderId="0" xfId="0" applyFont="1" applyFill="1" applyAlignment="1">
      <x:alignment vertical="top" wrapText="1"/>
    </x:xf>
    <x:xf numFmtId="0" fontId="8" fillId="0" borderId="0" xfId="0" applyFont="1" applyAlignment="1">
      <x:alignment vertical="top" wrapText="1"/>
    </x:xf>
    <x:xf numFmtId="0" fontId="4" fillId="0" borderId="0" xfId="0" applyFont="1" applyAlignment="1">
      <x:alignment vertical="top" wrapText="1"/>
    </x:xf>
    <x:xf numFmtId="0" fontId="9" fillId="0" borderId="0" xfId="0" applyFont="1"/>
    <x:xf numFmtId="0" fontId="2" fillId="3" borderId="0" xfId="0" applyFont="1" applyAlignment="1">
      <x:alignment horizontal="center" vertical="center" wrapText="1"/>
    </x:xf>
    <x:xf numFmtId="0" fontId="3" fillId="10" borderId="0" xfId="0" applyFont="1" applyFill="1" applyAlignment="1">
      <x:alignment wrapText="1"/>
    </x:xf>
    <x:xf numFmtId="0" fontId="4" fillId="0" borderId="0" xfId="0" applyFont="1" applyAlignment="1">
      <x:alignment wrapText="1"/>
    </x:xf>
    <x:xf numFmtId="0" fontId="3" fillId="10" borderId="0" xfId="0" applyFont="1" applyAlignment="1">
      <x:alignment wrapText="1"/>
    </x:xf>
    <x:xf numFmtId="0" fontId="0" fillId="0" borderId="0" xfId="0" applyNumberFormat="1" applyFont="1" applyFill="1" applyBorder="1" applyAlignment="1">
      <x:alignment vertical="bottom" wrapText="0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 wrapText="1"/>
    </x:xf>
    <x:xf numFmtId="0" fontId="2" fillId="5" borderId="0" xfId="0" applyNumberFormat="1" applyFont="1" applyFill="1" applyBorder="1" applyAlignment="1">
      <x:alignment horizontal="left" wrapText="1"/>
    </x:xf>
    <x:xf numFmtId="0" fontId="5" fillId="6" borderId="0" xfId="0" applyNumberFormat="1" applyFont="1" applyFill="1" applyBorder="1" applyAlignment="1">
      <x:alignment horizontal="left" wrapText="1"/>
    </x:xf>
    <x:xf numFmtId="0" fontId="6" fillId="7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4" fillId="9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wrapText="1"/>
    </x:xf>
    <x:xf numFmtId="0" fontId="4" fillId="11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12" borderId="0" xfId="0" applyNumberFormat="1" applyFont="1" applyFill="1" applyBorder="1" applyAlignment="1">
      <x:alignment horizontal="left" wrapText="1"/>
    </x:xf>
    <x:xf numFmtId="0" fontId="6" fillId="12" borderId="0" xfId="0" applyNumberFormat="1" applyFont="1" applyFill="1" applyBorder="1" applyAlignment="1">
      <x:alignment horizontal="left" wrapText="1"/>
    </x:xf>
    <x:xf numFmtId="0" fontId="2" fillId="13" borderId="0" xfId="0" applyNumberFormat="1" applyFont="1" applyFill="1" applyBorder="1" applyAlignment="1">
      <x:alignment horizontal="left" wrapText="1"/>
    </x:xf>
    <x:xf numFmtId="0" fontId="10" fillId="13" borderId="0" xfId="0" applyNumberFormat="1" applyFont="1" applyFill="1" applyBorder="1" applyAlignment="1">
      <x:alignment horizontal="left" wrapText="1"/>
    </x:xf>
    <x:xf numFmtId="0" fontId="6" fillId="14" borderId="0" xfId="0" applyNumberFormat="1" applyFont="1" applyFill="1" applyBorder="1" applyAlignment="1">
      <x:alignment horizontal="left" wrapText="1"/>
    </x:xf>
    <x:xf numFmtId="0" fontId="11" fillId="14" borderId="0" xfId="0" applyNumberFormat="1" applyFont="1" applyFill="1" applyBorder="1" applyAlignment="1">
      <x:alignment horizontal="left" wrapText="1"/>
    </x:xf>
    <x:xf numFmtId="0" fontId="3" fillId="15" borderId="0" xfId="0" applyNumberFormat="1" applyFont="1" applyFill="1" applyBorder="1" applyAlignment="1">
      <x:alignment horizontal="left" wrapText="1"/>
    </x:xf>
    <x:xf numFmtId="0" fontId="12" fillId="15" borderId="0" xfId="0" applyNumberFormat="1" applyFont="1" applyFill="1" applyBorder="1" applyAlignment="1">
      <x:alignment horizontal="left" wrapText="1"/>
    </x:xf>
    <x:xf numFmtId="0" fontId="3" fillId="13" borderId="0" xfId="0" applyNumberFormat="1" applyFont="1" applyFill="1" applyBorder="1" applyAlignment="1">
      <x:alignment horizontal="left" wrapText="1"/>
    </x:xf>
  </x:cellXfs>
  <x:cellStyles count="1">
    <x:cellStyle name="Normal" xfId="0"/>
  </x:cellStyles>
  <x:dxfs count="17">
    <x:dxf>
      <x:fill>
        <x:patternFill patternType="none"/>
      </x:fill>
      <x:border/>
    </x:dxf>
    <x:dxf>
      <x:fill>
        <x:patternFill>
          <x:bgColor theme="4"/>
        </x:patternFill>
      </x:fill>
      <x:border/>
    </x:dxf>
    <x:dxf>
      <x:fill>
        <x:patternFill>
          <x:bgColor rgb="FFC1E4F5"/>
        </x:patternFill>
      </x:fill>
      <x:border/>
    </x:dxf>
    <x:dxf>
      <x:fill>
        <x:patternFill>
          <x:bgColor theme="0"/>
        </x:patternFill>
      </x:fill>
      <x:border/>
    </x:dxf>
    <x:dxf>
      <x:font>
        <x:b/>
        <x:color rgb="FFFFFFFF"/>
      </x:font>
      <x:fill>
        <x:patternFill>
          <x:bgColor rgb="FF7F1D1D"/>
        </x:patternFill>
      </x:fill>
      <x:border/>
    </x:dxf>
    <x:dxf>
      <x:font>
        <x:b/>
        <x:color rgb="FF7F1D1D"/>
      </x:font>
      <x:fill>
        <x:patternFill>
          <x:bgColor rgb="FFFCA5A5"/>
        </x:patternFill>
      </x:fill>
      <x:border/>
    </x:dxf>
    <x:dxf>
      <x:font>
        <x:b/>
        <x:color rgb="FF7C2D12"/>
      </x:font>
      <x:fill>
        <x:patternFill>
          <x:bgColor rgb="FFFDBA74"/>
        </x:patternFill>
      </x:fill>
      <x:border/>
    </x:dxf>
    <x:dxf>
      <x:font>
        <x:color rgb="FF92400E"/>
      </x:font>
      <x:fill>
        <x:patternFill>
          <x:bgColor rgb="FFFEF3C7"/>
        </x:patternFill>
      </x:fill>
      <x:border/>
    </x:dxf>
    <x:dxf>
      <x:font>
        <x:color rgb="FF374151"/>
      </x:font>
      <x:fill>
        <x:patternFill>
          <x:bgColor rgb="FFE5E7EB"/>
        </x:patternFill>
      </x:fill>
      <x:border/>
    </x:dxf>
    <x:dxf>
      <x:font>
        <x:b/>
        <x:color rgb="FFFFFFFF"/>
      </x:font>
      <x:fill>
        <x:patternFill>
          <x:bgColor rgb="FFDC2626"/>
        </x:patternFill>
      </x:fill>
      <x:border/>
    </x:dxf>
    <x:dxf>
      <x:font>
        <x:color rgb="FF7F1D1D"/>
      </x:font>
      <x:fill>
        <x:patternFill>
          <x:bgColor rgb="FFFCA5A5"/>
        </x:patternFill>
      </x:fill>
      <x:border/>
    </x:dxf>
    <x:dxf>
      <x:fill>
        <x:patternFill>
          <x:bgColor rgb="FFFEF3C7"/>
        </x:patternFill>
      </x:fill>
      <x:border/>
    </x:dxf>
    <x:dxf>
      <x:fill>
        <x:patternFill>
          <x:bgColor rgb="FFE5E7EB"/>
        </x:patternFill>
      </x:fill>
      <x:border/>
    </x:dxf>
    <x:dxf>
      <x:font>
        <x:b/>
        <x:color rgb="FF991B1B"/>
      </x:font>
      <x:fill>
        <x:patternFill>
          <x:bgColor rgb="FFFEE2E2"/>
        </x:patternFill>
      </x:fill>
      <x:border/>
    </x:dxf>
    <x:dxf>
      <x:font>
        <x:b/>
        <x:color rgb="FF166534"/>
      </x:font>
      <x:fill>
        <x:patternFill>
          <x:bgColor rgb="FFDCFCE7"/>
        </x:patternFill>
      </x:fill>
      <x:border/>
    </x:dxf>
    <x:dxf>
      <x:font>
        <x:b/>
        <x:color rgb="FF5B21B6"/>
      </x:font>
      <x:fill>
        <x:patternFill>
          <x:bgColor rgb="FFEDE9FE"/>
        </x:patternFill>
      </x:fill>
      <x:border/>
    </x:dxf>
    <x:dxf>
      <x:font>
        <x:b/>
        <x:color rgb="FF1E40AF"/>
      </x:font>
      <x:fill>
        <x:patternFill>
          <x:bgColor rgb="FFDBEAFE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4380cd9c554ee9" /><Relationship Type="http://schemas.openxmlformats.org/officeDocument/2006/relationships/theme" Target="/xl/theme/theme1.xml" Id="R72543afe6eca478c" /><Relationship Type="http://schemas.openxmlformats.org/officeDocument/2006/relationships/sharedStrings" Target="/xl/sharedStrings.xml" Id="R2162af51afb14bbc" /><Relationship Type="http://schemas.openxmlformats.org/officeDocument/2006/relationships/worksheet" Target="/xl/worksheets/sheet1.xml" Id="R9db5f2866d1c43f7" /><Relationship Type="http://schemas.openxmlformats.org/officeDocument/2006/relationships/worksheet" Target="/xl/worksheets/sheet2.xml" Id="R6f6b659264954a3f" /><Relationship Type="http://schemas.openxmlformats.org/officeDocument/2006/relationships/worksheet" Target="/xl/worksheets/sheet3.xml" Id="Rc516b552ddf44050" /><Relationship Type="http://schemas.openxmlformats.org/officeDocument/2006/relationships/worksheet" Target="/xl/worksheets/sheet4.xml" Id="Rce3019ab26b844db" /><Relationship Type="http://schemas.openxmlformats.org/officeDocument/2006/relationships/worksheet" Target="/xl/worksheets/sheet5.xml" Id="R5ef64103ccea4b10" /><Relationship Type="http://schemas.openxmlformats.org/officeDocument/2006/relationships/worksheet" Target="/xl/worksheets/sheet6.xml" Id="Ra85015885a83428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8a7feb438594cc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png" Id="Ra8cf859cc9d84ea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b="0">
                <a:solidFill>
                  <a:srgbClr val="757575"/>
                </a:solidFill>
                <a:latin typeface="+mn-lt"/>
                <a:ea typeface="+mn-lt"/>
                <a:cs typeface="+mn-lt"/>
              </a:rPr>
              <a:t>Bugs by Priority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757575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spPr>
            <a:solidFill xmlns:a="http://schemas.openxmlformats.org/drawingml/2006/main">
              <a:schemeClr val="accent1"/>
            </a:solidFill>
            <a:ln xmlns:a="http://schemas.openxmlformats.org/drawingml/2006/main" cmpd="sng">
              <a:noFill/>
            </a:ln>
          </c:spPr>
          <c:cat>
            <c:strLit>
              <c:ptCount val="0"/>
            </c:strLit>
          </c:cat>
          <c:val>
            <c:numRef>
              <c:f>Summary!$E$2:$E$6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1A1A1A"/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</c:chartSpace>
</file>

<file path=xl/drawings/drawing1.xml><?xml version="1.0" encoding="utf-8"?>
<xdr:wsDr xmlns:xdr="http://schemas.openxmlformats.org/drawingml/2006/spreadsheetDrawing">
  <xdr:oneCellAnchor>
    <xdr:from>
      <xdr:col>6</xdr:col>
      <xdr:colOff>0</xdr:colOff>
      <xdr:row>1</xdr:row>
      <xdr:rowOff>0</xdr:rowOff>
    </xdr:from>
    <xdr:ext cx="5257800" cy="3400425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8a7feb438594cce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12</xdr:col>
      <xdr:colOff>0</xdr:colOff>
      <xdr:row>11</xdr:row>
      <xdr:rowOff>0</xdr:rowOff>
    </xdr:from>
    <xdr:ext cx="504825" cy="190500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cf859cc9d84e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able_1" displayName="Table_1" ref="A1:N11">
  <x:tableColumns count="14">
    <x:tableColumn id="1" name="ID"/>
    <x:tableColumn id="2" name="Summary "/>
    <x:tableColumn id="3" name="Area"/>
    <x:tableColumn id="4" name="Priority"/>
    <x:tableColumn id="5" name="Severity"/>
    <x:tableColumn id="6" name="Build"/>
    <x:tableColumn id="7" name="Environment"/>
    <x:tableColumn id="8" name="Preconditions"/>
    <x:tableColumn id="9" name="Steps to Reproduce"/>
    <x:tableColumn id="10" name="Expected Result"/>
    <x:tableColumn id="11" name="Actual Result"/>
    <x:tableColumn id="12" name="Status"/>
    <x:tableColumn id="13" name="Attachment / Evidence"/>
    <x:tableColumn id="14" name="Notes"/>
  </x:tableColumns>
  <x:tableStyleInfo name="Bug Reports-style" showFirstColumn="1" showLastColumn="1" showRowStripes="1"/>
</x:table>
</file>

<file path=xl/tables/table2.xml><?xml version="1.0" encoding="utf-8"?>
<x:table xmlns:x="http://schemas.openxmlformats.org/spreadsheetml/2006/main" id="2" name="Table_2" displayName="Table_2" ref="A1:G20">
  <x:tableColumns count="7">
    <x:tableColumn id="1" name="ID"/>
    <x:tableColumn id="2" name="Area"/>
    <x:tableColumn id="3" name="Check"/>
    <x:tableColumn id="4" name="Expected Result"/>
    <x:tableColumn id="5" name="Actual Result"/>
    <x:tableColumn id="6" name="Status"/>
    <x:tableColumn id="7" name="Comment"/>
  </x:tableColumns>
  <x:tableStyleInfo name="Test Checklist-style" showFirstColumn="1" showLastColumn="1" showRowStripes="1"/>
</x:table>
</file>

<file path=xl/tables/table3.xml><?xml version="1.0" encoding="utf-8"?>
<x:table xmlns:x="http://schemas.openxmlformats.org/spreadsheetml/2006/main" id="3" name="Table_3" displayName="Table_3" ref="A1:F6">
  <x:tableColumns count="6">
    <x:tableColumn id="1" name="ID"/>
    <x:tableColumn id="2" name="Artifact"/>
    <x:tableColumn id="3" name="Related Bug"/>
    <x:tableColumn id="4" name="Tool"/>
    <x:tableColumn id="5" name="What it confirms"/>
    <x:tableColumn id="6" name="Comment"/>
  </x:tableColumns>
  <x:tableStyleInfo name="Technical Evidence-style" showFirstColumn="1" showLastColumn="1" showRowStripes="1"/>
</x:table>
</file>

<file path=xl/tables/table4.xml><?xml version="1.0" encoding="utf-8"?>
<x:table xmlns:x="http://schemas.openxmlformats.org/spreadsheetml/2006/main" id="4" name="Table_4" displayName="Table_4" ref="A1:B16">
  <x:tableColumns count="2">
    <x:tableColumn id="1" name="Parameter"/>
    <x:tableColumn id="2" name="Value"/>
  </x:tableColumns>
  <x:tableStyleInfo name="Environment-style" showFirstColumn="1" showLastColumn="1" showRowStripes="1"/>
</x:table>
</file>

<file path=xl/tables/table5.xml><?xml version="1.0" encoding="utf-8"?>
<x:table xmlns:x="http://schemas.openxmlformats.org/spreadsheetml/2006/main" id="5" name="Table_5" displayName="Table_5" ref="A1:C13">
  <x:tableColumns count="3">
    <x:tableColumn id="1" name="Priority"/>
    <x:tableColumn id="2" name="Meaning / Когда использовать"/>
    <x:tableColumn id="3" name="Color"/>
  </x:tableColumns>
  <x:tableStyleInfo name="Legend-style" showFirstColumn="1" showLastColumn="1" showRowStripes="1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078be27244a47f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bd3df656f93448f3" /><Relationship Type="http://schemas.openxmlformats.org/officeDocument/2006/relationships/table" Target="/xl/tables/table1.xml" Id="Ra29b52ee430844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613b857dd494b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c47a9adac1c4ef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85a12768c6942a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deb18423f6d4b51" /></Relationships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26" customWidth="1"/>
    <x:col min="2" max="2" width="95" customWidth="1"/>
    <x:col min="3" max="3" width="8.630000114440918" customWidth="1"/>
    <x:col min="4" max="5" width="16" customWidth="1"/>
    <x:col min="6" max="26" width="8.630000114440918" customWidth="1"/>
  </x:cols>
  <x:sheetData>
    <x:row r="1" ht="33.75" customHeight="1">
      <x:c r="A1" s="1" t="s">
        <x:v>0</x:v>
      </x:c>
      <x:c r="C1" s="2"/>
      <x:c r="D1" s="2" t="s">
        <x:v>1</x:v>
      </x:c>
      <x:c r="E1" s="2" t="s">
        <x:v>2</x:v>
      </x:c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3" t="s">
        <x:v>3</x:v>
      </x:c>
      <x:c r="B2" s="4" t="s">
        <x:v>4</x:v>
      </x:c>
      <x:c r="D2" s="5" t="s">
        <x:v>5</x:v>
      </x:c>
      <x:c r="E2" s="5" t="n">
        <x:f>COUNTIF('Bug Reports'!D2:D101,"highest")</x:f>
        <x:v>1</x:v>
      </x:c>
    </x:row>
    <x:row r="3">
      <x:c r="A3" s="3" t="s">
        <x:v>6</x:v>
      </x:c>
      <x:c r="B3" s="4" t="s">
        <x:v>7</x:v>
      </x:c>
      <x:c r="D3" s="5" t="s">
        <x:v>8</x:v>
      </x:c>
      <x:c r="E3" s="5" t="n">
        <x:f>COUNTIF('Bug Reports'!D2:D101,"high")</x:f>
        <x:v>4</x:v>
      </x:c>
    </x:row>
    <x:row r="4">
      <x:c r="A4" s="3" t="s">
        <x:v>9</x:v>
      </x:c>
      <x:c r="B4" s="4" t="s">
        <x:v>10</x:v>
      </x:c>
      <x:c r="D4" s="5" t="s">
        <x:v>11</x:v>
      </x:c>
      <x:c r="E4" s="5" t="n">
        <x:f>COUNTIF('Bug Reports'!D2:D101,"medium")</x:f>
        <x:v>3</x:v>
      </x:c>
    </x:row>
    <x:row r="5">
      <x:c r="A5" s="3" t="s">
        <x:v>12</x:v>
      </x:c>
      <x:c r="B5" s="4" t="s">
        <x:v>13</x:v>
      </x:c>
      <x:c r="D5" s="5" t="s">
        <x:v>14</x:v>
      </x:c>
      <x:c r="E5" s="5" t="n">
        <x:f>COUNTIF('Bug Reports'!D2:D101,"low")</x:f>
        <x:v>1</x:v>
      </x:c>
    </x:row>
    <x:row r="6">
      <x:c r="A6" s="3" t="s">
        <x:v>15</x:v>
      </x:c>
      <x:c r="B6" s="4" t="s">
        <x:v>16</x:v>
      </x:c>
      <x:c r="D6" s="5" t="s">
        <x:v>17</x:v>
      </x:c>
      <x:c r="E6" s="5" t="n">
        <x:f>COUNTIF('Bug Reports'!D2:D101,"lowest")</x:f>
        <x:v>1</x:v>
      </x:c>
    </x:row>
    <x:row r="7">
      <x:c r="A7" s="3" t="s">
        <x:v>18</x:v>
      </x:c>
      <x:c r="B7" s="4" t="s">
        <x:v>19</x:v>
      </x:c>
    </x:row>
    <x:row r="8">
      <x:c r="A8" s="3" t="s">
        <x:v>20</x:v>
      </x:c>
      <x:c r="B8" s="6" t="n">
        <x:f>COUNTA('Bug Reports'!A2:A101)</x:f>
        <x:v>10</x:v>
      </x:c>
    </x:row>
    <x:row r="9">
      <x:c r="A9" s="43" t="str">
        <x:v>Open bugs</x:v>
      </x:c>
      <x:c r="B9" s="47" t="n">
        <x:v>9</x:v>
      </x:c>
    </x:row>
    <x:row r="10">
      <x:c r="A10" s="43" t="str">
        <x:v>Need retest bugs</x:v>
      </x:c>
      <x:c r="B10" s="49" t="n">
        <x:v>1</x:v>
      </x:c>
    </x:row>
    <x:row r="11">
      <x:c r="A11" s="43" t="str">
        <x:v>Highest priority</x:v>
      </x:c>
      <x:c r="B11" s="34" t="n">
        <x:v>1</x:v>
      </x:c>
    </x:row>
    <x:row r="12">
      <x:c r="A12" s="43" t="str">
        <x:v>High priority</x:v>
      </x:c>
      <x:c r="B12" s="32" t="n">
        <x:v>4</x:v>
      </x:c>
    </x:row>
    <x:row r="13">
      <x:c r="A13" s="43" t="str">
        <x:v>Medium priority</x:v>
      </x:c>
      <x:c r="B13" s="32" t="n">
        <x:v>3</x:v>
      </x:c>
    </x:row>
    <x:row r="14">
      <x:c r="A14" s="43" t="str">
        <x:v>Low/Lowest priority</x:v>
      </x:c>
      <x:c r="B14" s="32" t="n">
        <x:v>2</x:v>
      </x:c>
    </x:row>
    <x:row r="15">
      <x:c r="A15" s="43" t="str">
        <x:v>Passed checks</x:v>
      </x:c>
      <x:c r="B15" s="51" t="n">
        <x:v>8</x:v>
      </x:c>
    </x:row>
    <x:row r="16">
      <x:c r="A16" s="43" t="str">
        <x:v>Passed with note</x:v>
      </x:c>
      <x:c r="B16" s="53" t="n">
        <x:v>1</x:v>
      </x:c>
    </x:row>
    <x:row r="17">
      <x:c r="A17" s="43" t="str">
        <x:v>Failed checks</x:v>
      </x:c>
      <x:c r="B17" s="47" t="n">
        <x:v>9</x:v>
      </x:c>
    </x:row>
    <x:row r="18">
      <x:c r="A18" s="43" t="str">
        <x:v>Need retest checks</x:v>
      </x:c>
      <x:c r="B18" s="49" t="n">
        <x:v>1</x:v>
      </x:c>
    </x:row>
    <x:row r="19">
      <x:c r="A19" s="4"/>
      <x:c r="B19" s="4"/>
    </x:row>
    <x:row r="20">
      <x:c r="A20" s="4"/>
      <x:c r="B20" s="4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B1"/>
  </x:mergeCells>
  <x:pageMargins left="0.7" right="0.7" top="0.75" bottom="0.75" header="0.3" footer="0.3"/>
  <x:drawing xmlns:r="http://schemas.openxmlformats.org/officeDocument/2006/relationships" r:id="Rc078be27244a47f2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1" width="14" customWidth="1"/>
    <x:col min="2" max="2" width="38" customWidth="1"/>
    <x:col min="3" max="3" width="18" customWidth="1"/>
    <x:col min="4" max="5" width="12" customWidth="1"/>
    <x:col min="6" max="6" width="24" customWidth="1"/>
    <x:col min="7" max="7" width="34" customWidth="1"/>
    <x:col min="8" max="8" width="36" customWidth="1"/>
    <x:col min="9" max="9" width="44" customWidth="1"/>
    <x:col min="10" max="10" width="42" customWidth="1"/>
    <x:col min="11" max="11" width="46" customWidth="1"/>
    <x:col min="12" max="12" width="12" customWidth="1"/>
    <x:col min="13" max="13" width="34" customWidth="1"/>
    <x:col min="14" max="14" width="38" customWidth="1"/>
    <x:col min="15" max="26" width="8.630000114440918" customWidth="1"/>
  </x:cols>
  <x:sheetData>
    <x:row r="1" ht="27.75" customHeight="1">
      <x:c r="A1" s="10" t="s">
        <x:v>21</x:v>
      </x:c>
      <x:c r="B1" s="11" t="str">
        <x:v>Summary</x:v>
      </x:c>
      <x:c r="C1" s="10" t="s">
        <x:v>22</x:v>
      </x:c>
      <x:c r="D1" s="10" t="s">
        <x:v>1</x:v>
      </x:c>
      <x:c r="E1" s="10" t="s">
        <x:v>23</x:v>
      </x:c>
      <x:c r="F1" s="10" t="s">
        <x:v>6</x:v>
      </x:c>
      <x:c r="G1" s="10" t="s">
        <x:v>12</x:v>
      </x:c>
      <x:c r="H1" s="10" t="s">
        <x:v>24</x:v>
      </x:c>
      <x:c r="I1" s="10" t="s">
        <x:v>25</x:v>
      </x:c>
      <x:c r="J1" s="10" t="s">
        <x:v>26</x:v>
      </x:c>
      <x:c r="K1" s="10" t="s">
        <x:v>27</x:v>
      </x:c>
      <x:c r="L1" s="10" t="s">
        <x:v>28</x:v>
      </x:c>
      <x:c r="M1" s="10" t="s">
        <x:v>29</x:v>
      </x:c>
      <x:c r="N1" s="10" t="s">
        <x:v>30</x:v>
      </x:c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94.5" customHeight="1">
      <x:c r="A2" s="12" t="s">
        <x:v>31</x:v>
      </x:c>
      <x:c r="B2" s="13" t="s">
        <x:v>32</x:v>
      </x:c>
      <x:c r="C2" s="12" t="s">
        <x:v>33</x:v>
      </x:c>
      <x:c r="D2" s="12" t="s">
        <x:v>5</x:v>
      </x:c>
      <x:c r="E2" s="12" t="s">
        <x:v>34</x:v>
      </x:c>
      <x:c r="F2" s="12" t="s">
        <x:v>7</x:v>
      </x:c>
      <x:c r="G2" s="12" t="s">
        <x:v>13</x:v>
      </x:c>
      <x:c r="H2" s="12" t="s">
        <x:v>35</x:v>
      </x:c>
      <x:c r="I2" s="14" t="s">
        <x:v>36</x:v>
      </x:c>
      <x:c r="J2" s="14" t="s">
        <x:v>37</x:v>
      </x:c>
      <x:c r="K2" s="14" t="s">
        <x:v>38</x:v>
      </x:c>
      <x:c r="L2" s="12" t="s">
        <x:v>39</x:v>
      </x:c>
      <x:c r="M2" s="15" t="s">
        <x:v>40</x:v>
      </x:c>
      <x:c r="N2" s="14" t="s">
        <x:v>41</x:v>
      </x:c>
    </x:row>
    <x:row r="3" ht="94.5" customHeight="1">
      <x:c r="A3" s="12" t="s">
        <x:v>42</x:v>
      </x:c>
      <x:c r="B3" s="16" t="s">
        <x:v>43</x:v>
      </x:c>
      <x:c r="C3" s="12" t="s">
        <x:v>44</x:v>
      </x:c>
      <x:c r="D3" s="12" t="s">
        <x:v>8</x:v>
      </x:c>
      <x:c r="E3" s="12" t="s">
        <x:v>45</x:v>
      </x:c>
      <x:c r="F3" s="12" t="s">
        <x:v>7</x:v>
      </x:c>
      <x:c r="G3" s="12" t="s">
        <x:v>13</x:v>
      </x:c>
      <x:c r="H3" s="12" t="s">
        <x:v>46</x:v>
      </x:c>
      <x:c r="I3" s="12" t="s">
        <x:v>47</x:v>
      </x:c>
      <x:c r="J3" s="12" t="s">
        <x:v>48</x:v>
      </x:c>
      <x:c r="K3" s="12" t="s">
        <x:v>49</x:v>
      </x:c>
      <x:c r="L3" s="12" t="s">
        <x:v>39</x:v>
      </x:c>
      <x:c r="M3" s="17"/>
      <x:c r="N3" s="14" t="s">
        <x:v>50</x:v>
      </x:c>
    </x:row>
    <x:row r="4" ht="94.5" customHeight="1">
      <x:c r="A4" s="12" t="s">
        <x:v>51</x:v>
      </x:c>
      <x:c r="B4" s="18" t="s">
        <x:v>52</x:v>
      </x:c>
      <x:c r="C4" s="12" t="s">
        <x:v>53</x:v>
      </x:c>
      <x:c r="D4" s="12" t="s">
        <x:v>11</x:v>
      </x:c>
      <x:c r="E4" s="12" t="s">
        <x:v>45</x:v>
      </x:c>
      <x:c r="F4" s="12" t="s">
        <x:v>7</x:v>
      </x:c>
      <x:c r="G4" s="12" t="s">
        <x:v>13</x:v>
      </x:c>
      <x:c r="H4" s="12" t="s">
        <x:v>54</x:v>
      </x:c>
      <x:c r="I4" s="12" t="s">
        <x:v>55</x:v>
      </x:c>
      <x:c r="J4" s="12" t="s">
        <x:v>56</x:v>
      </x:c>
      <x:c r="K4" s="12" t="s">
        <x:v>57</x:v>
      </x:c>
      <x:c r="L4" s="12" t="s">
        <x:v>39</x:v>
      </x:c>
      <x:c r="M4" s="12" t="s">
        <x:v>58</x:v>
      </x:c>
      <x:c r="N4" s="12" t="s">
        <x:v>59</x:v>
      </x:c>
    </x:row>
    <x:row r="5" ht="94.5" customHeight="1">
      <x:c r="A5" s="12" t="s">
        <x:v>60</x:v>
      </x:c>
      <x:c r="B5" s="16" t="s">
        <x:v>61</x:v>
      </x:c>
      <x:c r="C5" s="12" t="s">
        <x:v>62</x:v>
      </x:c>
      <x:c r="D5" s="12" t="s">
        <x:v>11</x:v>
      </x:c>
      <x:c r="E5" s="12" t="s">
        <x:v>45</x:v>
      </x:c>
      <x:c r="F5" s="12" t="s">
        <x:v>7</x:v>
      </x:c>
      <x:c r="G5" s="12" t="s">
        <x:v>13</x:v>
      </x:c>
      <x:c r="H5" s="12" t="s">
        <x:v>63</x:v>
      </x:c>
      <x:c r="I5" s="12" t="s">
        <x:v>64</x:v>
      </x:c>
      <x:c r="J5" s="12" t="s">
        <x:v>65</x:v>
      </x:c>
      <x:c r="K5" s="12" t="s">
        <x:v>66</x:v>
      </x:c>
      <x:c r="L5" s="12" t="s">
        <x:v>39</x:v>
      </x:c>
      <x:c r="M5" s="19"/>
      <x:c r="N5" s="12"/>
    </x:row>
    <x:row r="6" ht="94.5" customHeight="1">
      <x:c r="A6" s="12" t="s">
        <x:v>67</x:v>
      </x:c>
      <x:c r="B6" s="18" t="s">
        <x:v>68</x:v>
      </x:c>
      <x:c r="C6" s="12" t="s">
        <x:v>69</x:v>
      </x:c>
      <x:c r="D6" s="12" t="s">
        <x:v>14</x:v>
      </x:c>
      <x:c r="E6" s="12" t="s">
        <x:v>70</x:v>
      </x:c>
      <x:c r="F6" s="12" t="s">
        <x:v>7</x:v>
      </x:c>
      <x:c r="G6" s="12" t="s">
        <x:v>13</x:v>
      </x:c>
      <x:c r="H6" s="12" t="s">
        <x:v>71</x:v>
      </x:c>
      <x:c r="I6" s="12" t="s">
        <x:v>72</x:v>
      </x:c>
      <x:c r="J6" s="12" t="s">
        <x:v>73</x:v>
      </x:c>
      <x:c r="K6" s="12" t="s">
        <x:v>74</x:v>
      </x:c>
      <x:c r="L6" s="12" t="s">
        <x:v>39</x:v>
      </x:c>
      <x:c r="M6" s="12"/>
      <x:c r="N6" s="12"/>
    </x:row>
    <x:row r="7" ht="94.5" customHeight="1">
      <x:c r="A7" s="12" t="s">
        <x:v>75</x:v>
      </x:c>
      <x:c r="B7" s="16" t="s">
        <x:v>76</x:v>
      </x:c>
      <x:c r="C7" s="12" t="s">
        <x:v>77</x:v>
      </x:c>
      <x:c r="D7" s="12" t="s">
        <x:v>8</x:v>
      </x:c>
      <x:c r="E7" s="12" t="s">
        <x:v>45</x:v>
      </x:c>
      <x:c r="F7" s="12" t="s">
        <x:v>7</x:v>
      </x:c>
      <x:c r="G7" s="12" t="s">
        <x:v>13</x:v>
      </x:c>
      <x:c r="H7" s="12" t="s">
        <x:v>78</x:v>
      </x:c>
      <x:c r="I7" s="12" t="s">
        <x:v>79</x:v>
      </x:c>
      <x:c r="J7" s="12" t="s">
        <x:v>80</x:v>
      </x:c>
      <x:c r="K7" s="12" t="s">
        <x:v>81</x:v>
      </x:c>
      <x:c r="L7" s="12" t="s">
        <x:v>39</x:v>
      </x:c>
      <x:c r="M7" s="12" t="s">
        <x:v>82</x:v>
      </x:c>
      <x:c r="N7" s="12"/>
    </x:row>
    <x:row r="8" ht="94.5" customHeight="1">
      <x:c r="A8" s="12" t="s">
        <x:v>83</x:v>
      </x:c>
      <x:c r="B8" s="18" t="s">
        <x:v>84</x:v>
      </x:c>
      <x:c r="C8" s="12" t="s">
        <x:v>85</x:v>
      </x:c>
      <x:c r="D8" s="12" t="s">
        <x:v>11</x:v>
      </x:c>
      <x:c r="E8" s="12" t="s">
        <x:v>45</x:v>
      </x:c>
      <x:c r="F8" s="12" t="s">
        <x:v>7</x:v>
      </x:c>
      <x:c r="G8" s="12" t="s">
        <x:v>13</x:v>
      </x:c>
      <x:c r="H8" s="12" t="s">
        <x:v>86</x:v>
      </x:c>
      <x:c r="I8" s="12" t="s">
        <x:v>87</x:v>
      </x:c>
      <x:c r="J8" s="12" t="s">
        <x:v>88</x:v>
      </x:c>
      <x:c r="K8" s="12" t="s">
        <x:v>89</x:v>
      </x:c>
      <x:c r="L8" s="12" t="str">
        <x:v>Need retest</x:v>
      </x:c>
      <x:c r="M8" s="19" t="s">
        <x:v>90</x:v>
      </x:c>
      <x:c r="N8" s="12" t="str">
        <x:v>Issue was observed once. Additional reproduction attempts and technical logs are required before returning the defect to Open.</x:v>
      </x:c>
    </x:row>
    <x:row r="9" ht="94.5" customHeight="1">
      <x:c r="A9" s="12" t="s">
        <x:v>91</x:v>
      </x:c>
      <x:c r="B9" s="16" t="s">
        <x:v>92</x:v>
      </x:c>
      <x:c r="C9" s="12" t="s">
        <x:v>93</x:v>
      </x:c>
      <x:c r="D9" s="14" t="s">
        <x:v>8</x:v>
      </x:c>
      <x:c r="E9" s="14" t="s">
        <x:v>45</x:v>
      </x:c>
      <x:c r="F9" s="12" t="s">
        <x:v>7</x:v>
      </x:c>
      <x:c r="G9" s="12" t="s">
        <x:v>13</x:v>
      </x:c>
      <x:c r="H9" s="12" t="s">
        <x:v>94</x:v>
      </x:c>
      <x:c r="I9" s="12" t="s">
        <x:v>95</x:v>
      </x:c>
      <x:c r="J9" s="12" t="s">
        <x:v>96</x:v>
      </x:c>
      <x:c r="K9" s="14" t="s">
        <x:v>97</x:v>
      </x:c>
      <x:c r="L9" s="12" t="s">
        <x:v>39</x:v>
      </x:c>
      <x:c r="M9" s="19" t="s">
        <x:v>98</x:v>
      </x:c>
      <x:c r="N9" s="14"/>
    </x:row>
    <x:row r="10" ht="94.5" customHeight="1">
      <x:c r="A10" s="12" t="s">
        <x:v>99</x:v>
      </x:c>
      <x:c r="B10" s="18" t="s">
        <x:v>100</x:v>
      </x:c>
      <x:c r="C10" s="12" t="s">
        <x:v>101</x:v>
      </x:c>
      <x:c r="D10" s="12" t="s">
        <x:v>8</x:v>
      </x:c>
      <x:c r="E10" s="12" t="s">
        <x:v>45</x:v>
      </x:c>
      <x:c r="F10" s="12" t="s">
        <x:v>7</x:v>
      </x:c>
      <x:c r="G10" s="12" t="s">
        <x:v>13</x:v>
      </x:c>
      <x:c r="H10" s="12" t="s">
        <x:v>102</x:v>
      </x:c>
      <x:c r="I10" s="12" t="s">
        <x:v>103</x:v>
      </x:c>
      <x:c r="J10" s="12" t="s">
        <x:v>104</x:v>
      </x:c>
      <x:c r="K10" s="12" t="s">
        <x:v>105</x:v>
      </x:c>
      <x:c r="L10" s="12" t="s">
        <x:v>39</x:v>
      </x:c>
      <x:c r="M10" s="19" t="s">
        <x:v>106</x:v>
      </x:c>
      <x:c r="N10" s="12"/>
    </x:row>
    <x:row r="11" ht="94.5" customHeight="1">
      <x:c r="A11" s="12" t="s">
        <x:v>107</x:v>
      </x:c>
      <x:c r="B11" s="16" t="s">
        <x:v>108</x:v>
      </x:c>
      <x:c r="C11" s="12" t="s">
        <x:v>109</x:v>
      </x:c>
      <x:c r="D11" s="12" t="s">
        <x:v>17</x:v>
      </x:c>
      <x:c r="E11" s="12" t="s">
        <x:v>110</x:v>
      </x:c>
      <x:c r="F11" s="12" t="s">
        <x:v>7</x:v>
      </x:c>
      <x:c r="G11" s="12" t="s">
        <x:v>13</x:v>
      </x:c>
      <x:c r="H11" s="12" t="s">
        <x:v>54</x:v>
      </x:c>
      <x:c r="I11" s="12" t="s">
        <x:v>111</x:v>
      </x:c>
      <x:c r="J11" s="12" t="s">
        <x:v>112</x:v>
      </x:c>
      <x:c r="K11" s="12" t="s">
        <x:v>113</x:v>
      </x:c>
      <x:c r="L11" s="12" t="s">
        <x:v>39</x:v>
      </x:c>
      <x:c r="M11" s="14"/>
      <x:c r="N11" s="12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</x:row>
    <x:row r="22" ht="15.75" customHeight="1">
      <x:c r="D22" s="21"/>
      <x:c r="E22" s="21"/>
      <x:c r="L22" s="21"/>
    </x:row>
    <x:row r="23" ht="15.75" customHeight="1">
      <x:c r="D23" s="21"/>
      <x:c r="E23" s="21"/>
      <x:c r="L23" s="21"/>
    </x:row>
    <x:row r="24" ht="15.75" customHeight="1">
      <x:c r="D24" s="21"/>
      <x:c r="E24" s="21"/>
      <x:c r="L24" s="21"/>
    </x:row>
    <x:row r="25" ht="15.75" customHeight="1">
      <x:c r="D25" s="21"/>
      <x:c r="E25" s="21"/>
      <x:c r="L25" s="21"/>
    </x:row>
    <x:row r="26" ht="15.75" customHeight="1">
      <x:c r="D26" s="21"/>
      <x:c r="E26" s="21"/>
      <x:c r="L26" s="21"/>
    </x:row>
    <x:row r="27" ht="15.75" customHeight="1">
      <x:c r="D27" s="21"/>
      <x:c r="E27" s="21"/>
      <x:c r="L27" s="21"/>
    </x:row>
    <x:row r="28" ht="15.75" customHeight="1">
      <x:c r="D28" s="21"/>
      <x:c r="E28" s="21"/>
      <x:c r="L28" s="21"/>
    </x:row>
    <x:row r="29" ht="15.75" customHeight="1">
      <x:c r="D29" s="21"/>
      <x:c r="E29" s="21"/>
      <x:c r="L29" s="21"/>
    </x:row>
    <x:row r="30" ht="15.75" customHeight="1">
      <x:c r="D30" s="21"/>
      <x:c r="E30" s="21"/>
      <x:c r="L30" s="21"/>
    </x:row>
    <x:row r="31" ht="15.75" customHeight="1">
      <x:c r="D31" s="21"/>
      <x:c r="E31" s="21"/>
      <x:c r="L31" s="21"/>
    </x:row>
    <x:row r="32" ht="15.75" customHeight="1">
      <x:c r="D32" s="21"/>
      <x:c r="E32" s="21"/>
      <x:c r="L32" s="21"/>
    </x:row>
    <x:row r="33" ht="15.75" customHeight="1">
      <x:c r="D33" s="21"/>
      <x:c r="E33" s="21"/>
      <x:c r="L33" s="21"/>
    </x:row>
    <x:row r="34" ht="15.75" customHeight="1">
      <x:c r="D34" s="21"/>
      <x:c r="E34" s="21"/>
      <x:c r="L34" s="21"/>
    </x:row>
    <x:row r="35" ht="15.75" customHeight="1">
      <x:c r="D35" s="21"/>
      <x:c r="E35" s="21"/>
      <x:c r="L35" s="21"/>
    </x:row>
    <x:row r="36" ht="15.75" customHeight="1">
      <x:c r="D36" s="21"/>
      <x:c r="E36" s="21"/>
      <x:c r="L36" s="21"/>
    </x:row>
    <x:row r="37" ht="15.75" customHeight="1">
      <x:c r="D37" s="21"/>
      <x:c r="E37" s="21"/>
      <x:c r="L37" s="21"/>
    </x:row>
    <x:row r="38" ht="15.75" customHeight="1">
      <x:c r="D38" s="21"/>
      <x:c r="E38" s="21"/>
      <x:c r="L38" s="21"/>
    </x:row>
    <x:row r="39" ht="15.75" customHeight="1">
      <x:c r="D39" s="21"/>
      <x:c r="E39" s="21"/>
      <x:c r="L39" s="21"/>
    </x:row>
    <x:row r="40" ht="15.75" customHeight="1">
      <x:c r="D40" s="21"/>
      <x:c r="E40" s="21"/>
      <x:c r="L40" s="21"/>
    </x:row>
    <x:row r="41" ht="15.75" customHeight="1">
      <x:c r="D41" s="21"/>
      <x:c r="E41" s="21"/>
      <x:c r="L41" s="21"/>
    </x:row>
    <x:row r="42" ht="15.75" customHeight="1">
      <x:c r="D42" s="21"/>
      <x:c r="E42" s="21"/>
      <x:c r="L42" s="21"/>
    </x:row>
    <x:row r="43" ht="15.75" customHeight="1">
      <x:c r="D43" s="21"/>
      <x:c r="E43" s="21"/>
      <x:c r="L43" s="21"/>
    </x:row>
    <x:row r="44" ht="15.75" customHeight="1">
      <x:c r="D44" s="21"/>
      <x:c r="E44" s="21"/>
      <x:c r="L44" s="21"/>
    </x:row>
    <x:row r="45" ht="15.75" customHeight="1">
      <x:c r="D45" s="21"/>
      <x:c r="E45" s="21"/>
      <x:c r="L45" s="21"/>
    </x:row>
    <x:row r="46" ht="15.75" customHeight="1">
      <x:c r="D46" s="21"/>
      <x:c r="E46" s="21"/>
      <x:c r="L46" s="21"/>
    </x:row>
    <x:row r="47" ht="15.75" customHeight="1">
      <x:c r="D47" s="21"/>
      <x:c r="E47" s="21"/>
      <x:c r="L47" s="21"/>
    </x:row>
    <x:row r="48" ht="15.75" customHeight="1">
      <x:c r="D48" s="21"/>
      <x:c r="E48" s="21"/>
      <x:c r="L48" s="21"/>
    </x:row>
    <x:row r="49" ht="15.75" customHeight="1">
      <x:c r="D49" s="21"/>
      <x:c r="E49" s="21"/>
      <x:c r="L49" s="21"/>
    </x:row>
    <x:row r="50" ht="15.75" customHeight="1">
      <x:c r="D50" s="21"/>
      <x:c r="E50" s="21"/>
      <x:c r="L50" s="21"/>
    </x:row>
    <x:row r="51" ht="15.75" customHeight="1">
      <x:c r="D51" s="21"/>
      <x:c r="E51" s="21"/>
      <x:c r="L51" s="21"/>
    </x:row>
    <x:row r="52" ht="15.75" customHeight="1">
      <x:c r="D52" s="21"/>
      <x:c r="E52" s="21"/>
      <x:c r="L52" s="21"/>
    </x:row>
    <x:row r="53" ht="15.75" customHeight="1">
      <x:c r="D53" s="21"/>
      <x:c r="E53" s="21"/>
      <x:c r="L53" s="21"/>
    </x:row>
    <x:row r="54" ht="15.75" customHeight="1">
      <x:c r="D54" s="21"/>
      <x:c r="E54" s="21"/>
      <x:c r="L54" s="21"/>
    </x:row>
    <x:row r="55" ht="15.75" customHeight="1">
      <x:c r="D55" s="21"/>
      <x:c r="E55" s="21"/>
      <x:c r="L55" s="21"/>
    </x:row>
    <x:row r="56" ht="15.75" customHeight="1">
      <x:c r="D56" s="21"/>
      <x:c r="E56" s="21"/>
      <x:c r="L56" s="21"/>
    </x:row>
    <x:row r="57" ht="15.75" customHeight="1">
      <x:c r="D57" s="21"/>
      <x:c r="E57" s="21"/>
      <x:c r="L57" s="21"/>
    </x:row>
    <x:row r="58" ht="15.75" customHeight="1">
      <x:c r="D58" s="21"/>
      <x:c r="E58" s="21"/>
      <x:c r="L58" s="21"/>
    </x:row>
    <x:row r="59" ht="15.75" customHeight="1">
      <x:c r="D59" s="21"/>
      <x:c r="E59" s="21"/>
      <x:c r="L59" s="21"/>
    </x:row>
    <x:row r="60" ht="15.75" customHeight="1">
      <x:c r="D60" s="21"/>
      <x:c r="E60" s="21"/>
      <x:c r="L60" s="21"/>
    </x:row>
    <x:row r="61" ht="15.75" customHeight="1">
      <x:c r="D61" s="21"/>
      <x:c r="E61" s="21"/>
      <x:c r="L61" s="21"/>
    </x:row>
    <x:row r="62" ht="15.75" customHeight="1">
      <x:c r="D62" s="21"/>
      <x:c r="E62" s="21"/>
      <x:c r="L62" s="21"/>
    </x:row>
    <x:row r="63" ht="15.75" customHeight="1">
      <x:c r="D63" s="21"/>
      <x:c r="E63" s="21"/>
      <x:c r="L63" s="21"/>
    </x:row>
    <x:row r="64" ht="15.75" customHeight="1">
      <x:c r="D64" s="21"/>
      <x:c r="E64" s="21"/>
      <x:c r="L64" s="21"/>
    </x:row>
    <x:row r="65" ht="15.75" customHeight="1">
      <x:c r="D65" s="21"/>
      <x:c r="E65" s="21"/>
      <x:c r="L65" s="21"/>
    </x:row>
    <x:row r="66" ht="15.75" customHeight="1">
      <x:c r="D66" s="21"/>
      <x:c r="E66" s="21"/>
      <x:c r="L66" s="21"/>
    </x:row>
    <x:row r="67" ht="15.75" customHeight="1">
      <x:c r="D67" s="21"/>
      <x:c r="E67" s="21"/>
      <x:c r="L67" s="21"/>
    </x:row>
    <x:row r="68" ht="15.75" customHeight="1">
      <x:c r="D68" s="21"/>
      <x:c r="E68" s="21"/>
      <x:c r="L68" s="21"/>
    </x:row>
    <x:row r="69" ht="15.75" customHeight="1">
      <x:c r="D69" s="21"/>
      <x:c r="E69" s="21"/>
      <x:c r="L69" s="21"/>
    </x:row>
    <x:row r="70" ht="15.75" customHeight="1">
      <x:c r="D70" s="21"/>
      <x:c r="E70" s="21"/>
      <x:c r="L70" s="21"/>
    </x:row>
    <x:row r="71" ht="15.75" customHeight="1">
      <x:c r="D71" s="21"/>
      <x:c r="E71" s="21"/>
      <x:c r="L71" s="21"/>
    </x:row>
    <x:row r="72" ht="15.75" customHeight="1">
      <x:c r="D72" s="21"/>
      <x:c r="E72" s="21"/>
      <x:c r="L72" s="21"/>
    </x:row>
    <x:row r="73" ht="15.75" customHeight="1">
      <x:c r="D73" s="21"/>
      <x:c r="E73" s="21"/>
      <x:c r="L73" s="21"/>
    </x:row>
    <x:row r="74" ht="15.75" customHeight="1">
      <x:c r="D74" s="21"/>
      <x:c r="E74" s="21"/>
      <x:c r="L74" s="21"/>
    </x:row>
    <x:row r="75" ht="15.75" customHeight="1">
      <x:c r="D75" s="21"/>
      <x:c r="E75" s="21"/>
      <x:c r="L75" s="21"/>
    </x:row>
    <x:row r="76" ht="15.75" customHeight="1">
      <x:c r="D76" s="21"/>
      <x:c r="E76" s="21"/>
      <x:c r="L76" s="21"/>
    </x:row>
    <x:row r="77" ht="15.75" customHeight="1">
      <x:c r="D77" s="21"/>
      <x:c r="E77" s="21"/>
      <x:c r="L77" s="21"/>
    </x:row>
    <x:row r="78" ht="15.75" customHeight="1">
      <x:c r="D78" s="21"/>
      <x:c r="E78" s="21"/>
      <x:c r="L78" s="21"/>
    </x:row>
    <x:row r="79" ht="15.75" customHeight="1">
      <x:c r="D79" s="21"/>
      <x:c r="E79" s="21"/>
      <x:c r="L79" s="21"/>
    </x:row>
    <x:row r="80" ht="15.75" customHeight="1">
      <x:c r="D80" s="21"/>
      <x:c r="E80" s="21"/>
      <x:c r="L80" s="21"/>
    </x:row>
    <x:row r="81" ht="15.75" customHeight="1">
      <x:c r="D81" s="21"/>
      <x:c r="E81" s="21"/>
      <x:c r="L81" s="21"/>
    </x:row>
    <x:row r="82" ht="15.75" customHeight="1">
      <x:c r="D82" s="21"/>
      <x:c r="E82" s="21"/>
      <x:c r="L82" s="21"/>
    </x:row>
    <x:row r="83" ht="15.75" customHeight="1">
      <x:c r="D83" s="21"/>
      <x:c r="E83" s="21"/>
      <x:c r="L83" s="21"/>
    </x:row>
    <x:row r="84" ht="15.75" customHeight="1">
      <x:c r="D84" s="21"/>
      <x:c r="E84" s="21"/>
      <x:c r="L84" s="21"/>
    </x:row>
    <x:row r="85" ht="15.75" customHeight="1">
      <x:c r="D85" s="21"/>
      <x:c r="E85" s="21"/>
      <x:c r="L85" s="21"/>
    </x:row>
    <x:row r="86" ht="15.75" customHeight="1">
      <x:c r="D86" s="21"/>
      <x:c r="E86" s="21"/>
      <x:c r="L86" s="21"/>
    </x:row>
    <x:row r="87" ht="15.75" customHeight="1">
      <x:c r="D87" s="21"/>
      <x:c r="E87" s="21"/>
      <x:c r="L87" s="21"/>
    </x:row>
    <x:row r="88" ht="15.75" customHeight="1">
      <x:c r="D88" s="21"/>
      <x:c r="E88" s="21"/>
      <x:c r="L88" s="21"/>
    </x:row>
    <x:row r="89" ht="15.75" customHeight="1">
      <x:c r="D89" s="21"/>
      <x:c r="E89" s="21"/>
      <x:c r="L89" s="21"/>
    </x:row>
    <x:row r="90" ht="15.75" customHeight="1">
      <x:c r="D90" s="21"/>
      <x:c r="E90" s="21"/>
      <x:c r="L90" s="21"/>
    </x:row>
    <x:row r="91" ht="15.75" customHeight="1">
      <x:c r="D91" s="21"/>
      <x:c r="E91" s="21"/>
      <x:c r="L91" s="21"/>
    </x:row>
    <x:row r="92" ht="15.75" customHeight="1">
      <x:c r="D92" s="21"/>
      <x:c r="E92" s="21"/>
      <x:c r="L92" s="21"/>
    </x:row>
    <x:row r="93" ht="15.75" customHeight="1">
      <x:c r="D93" s="21"/>
      <x:c r="E93" s="21"/>
      <x:c r="L93" s="21"/>
    </x:row>
    <x:row r="94" ht="15.75" customHeight="1">
      <x:c r="D94" s="21"/>
      <x:c r="E94" s="21"/>
      <x:c r="L94" s="21"/>
    </x:row>
    <x:row r="95" ht="15.75" customHeight="1">
      <x:c r="D95" s="21"/>
      <x:c r="E95" s="21"/>
      <x:c r="L95" s="21"/>
    </x:row>
    <x:row r="96" ht="15.75" customHeight="1">
      <x:c r="D96" s="21"/>
      <x:c r="E96" s="21"/>
      <x:c r="L96" s="21"/>
    </x:row>
    <x:row r="97" ht="15.75" customHeight="1">
      <x:c r="D97" s="21"/>
      <x:c r="E97" s="21"/>
      <x:c r="L97" s="21"/>
    </x:row>
    <x:row r="98" ht="15.75" customHeight="1">
      <x:c r="D98" s="21"/>
      <x:c r="E98" s="21"/>
      <x:c r="L98" s="21"/>
    </x:row>
    <x:row r="99" ht="15.75" customHeight="1">
      <x:c r="D99" s="21"/>
      <x:c r="E99" s="21"/>
      <x:c r="L99" s="21"/>
    </x:row>
    <x:row r="100" ht="15.75" customHeight="1">
      <x:c r="D100" s="21"/>
      <x:c r="E100" s="21"/>
      <x:c r="L100" s="21"/>
    </x:row>
    <x:row r="101" ht="15.75" customHeight="1">
      <x:c r="D101" s="21"/>
      <x:c r="E101" s="21"/>
      <x:c r="L101" s="21"/>
    </x:row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  <x:row r="1001" ht="15.75" customHeight="1"/>
  </x:sheetData>
  <x:conditionalFormatting sqref="D2:D1001">
    <x:cfRule type="expression" dxfId="4" priority="1">
      <x:formula>D2="highest"</x:formula>
    </x:cfRule>
  </x:conditionalFormatting>
  <x:conditionalFormatting sqref="D2:D1001">
    <x:cfRule type="expression" dxfId="5" priority="2">
      <x:formula>D2="high"</x:formula>
    </x:cfRule>
  </x:conditionalFormatting>
  <x:conditionalFormatting sqref="D2:D1001">
    <x:cfRule type="expression" dxfId="6" priority="3">
      <x:formula>D2="medium"</x:formula>
    </x:cfRule>
  </x:conditionalFormatting>
  <x:conditionalFormatting sqref="D2:D1001">
    <x:cfRule type="expression" dxfId="7" priority="4">
      <x:formula>D2="low"</x:formula>
    </x:cfRule>
  </x:conditionalFormatting>
  <x:conditionalFormatting sqref="D2:D1001">
    <x:cfRule type="expression" dxfId="8" priority="5">
      <x:formula>D2="lowest"</x:formula>
    </x:cfRule>
  </x:conditionalFormatting>
  <x:conditionalFormatting sqref="E2:E1001">
    <x:cfRule type="expression" dxfId="4" priority="6">
      <x:formula>E2="Blocker"</x:formula>
    </x:cfRule>
  </x:conditionalFormatting>
  <x:conditionalFormatting sqref="E2:E1001">
    <x:cfRule type="expression" dxfId="9" priority="7">
      <x:formula>E2="Critical"</x:formula>
    </x:cfRule>
  </x:conditionalFormatting>
  <x:conditionalFormatting sqref="E2:E1001">
    <x:cfRule type="expression" dxfId="10" priority="8">
      <x:formula>E2="Major"</x:formula>
    </x:cfRule>
  </x:conditionalFormatting>
  <x:conditionalFormatting sqref="E2:E1001">
    <x:cfRule type="expression" dxfId="11" priority="9">
      <x:formula>E2="Minor"</x:formula>
    </x:cfRule>
  </x:conditionalFormatting>
  <x:conditionalFormatting sqref="E2:E1001">
    <x:cfRule type="expression" dxfId="12" priority="10">
      <x:formula>E2="Trivial"</x:formula>
    </x:cfRule>
  </x:conditionalFormatting>
  <x:conditionalFormatting sqref="L2:L1001">
    <x:cfRule type="expression" dxfId="13" priority="11">
      <x:formula>L2="Open"</x:formula>
    </x:cfRule>
  </x:conditionalFormatting>
  <x:conditionalFormatting sqref="L2:L1001">
    <x:cfRule type="expression" dxfId="14" priority="12">
      <x:formula>L2="Fixed"</x:formula>
    </x:cfRule>
  </x:conditionalFormatting>
  <x:conditionalFormatting sqref="L2:L1001">
    <x:cfRule type="expression" dxfId="15" priority="13">
      <x:formula>L2="Need retest"</x:formula>
    </x:cfRule>
  </x:conditionalFormatting>
  <x:dataValidations count="3">
    <x:dataValidation type="list" allowBlank="1" sqref="D2:D101">
      <x:formula1>"lowest,low,medium,high,highest"</x:formula1>
    </x:dataValidation>
    <x:dataValidation type="list" allowBlank="1" sqref="L2:L101">
      <x:formula1>"Open,Fixed,Closed,Cannot Reproduce,Need retest"</x:formula1>
    </x:dataValidation>
    <x:dataValidation type="list" allowBlank="1" sqref="E2:E101">
      <x:formula1>"Trivial,Minor,Major,Critical,Blocker"</x:formula1>
    </x:dataValidation>
  </x:dataValidations>
  <x:pageMargins left="0.7" right="0.7" top="0.75" bottom="0.75" header="0.3" footer="0.3"/>
  <x:drawing xmlns:r="http://schemas.openxmlformats.org/officeDocument/2006/relationships" r:id="Rbd3df656f93448f3"/>
  <x:tableParts count="1">
    <x:tablePart xmlns:r="http://schemas.openxmlformats.org/officeDocument/2006/relationships" r:id="Ra29b52ee430844a0"/>
  </x:tableParts>
</x:worksheet>
</file>

<file path=xl/worksheets/sheet3.xml><?xml version="1.0" encoding="utf-8"?>
<x:worksheet xmlns:x="http://schemas.openxmlformats.org/spreadsheetml/2006/main">
  <x:sheetFormatPr defaultColWidth="12.630000114440918" defaultRowHeight="15"/>
  <x:cols>
    <x:col min="1" max="1" width="12" customWidth="1"/>
    <x:col min="2" max="2" width="18" customWidth="1"/>
    <x:col min="3" max="3" width="34" customWidth="1"/>
    <x:col min="4" max="5" width="38" customWidth="1"/>
    <x:col min="6" max="6" width="16" customWidth="1"/>
    <x:col min="7" max="7" width="32" customWidth="1"/>
    <x:col min="8" max="26" width="8.630000114440918" customWidth="1"/>
  </x:cols>
  <x:sheetData>
    <x:row r="1" ht="27.75" customHeight="1">
      <x:c r="A1" s="10" t="s">
        <x:v>21</x:v>
      </x:c>
      <x:c r="B1" s="10" t="s">
        <x:v>22</x:v>
      </x:c>
      <x:c r="C1" s="10" t="s">
        <x:v>114</x:v>
      </x:c>
      <x:c r="D1" s="10" t="s">
        <x:v>26</x:v>
      </x:c>
      <x:c r="E1" s="10" t="s">
        <x:v>27</x:v>
      </x:c>
      <x:c r="F1" s="10" t="s">
        <x:v>28</x:v>
      </x:c>
      <x:c r="G1" s="10" t="s">
        <x:v>115</x:v>
      </x:c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54.75" customHeight="1">
      <x:c r="A2" s="12" t="s">
        <x:v>116</x:v>
      </x:c>
      <x:c r="B2" s="12" t="s">
        <x:v>117</x:v>
      </x:c>
      <x:c r="C2" s="12" t="s">
        <x:v>118</x:v>
      </x:c>
      <x:c r="D2" s="12" t="s">
        <x:v>119</x:v>
      </x:c>
      <x:c r="E2" s="12" t="s">
        <x:v>120</x:v>
      </x:c>
      <x:c r="F2" s="12" t="s">
        <x:v>121</x:v>
      </x:c>
      <x:c r="G2" s="12" t="s">
        <x:v>122</x:v>
      </x:c>
    </x:row>
    <x:row r="3" ht="54.75" customHeight="1">
      <x:c r="A3" s="12" t="s">
        <x:v>123</x:v>
      </x:c>
      <x:c r="B3" s="12" t="s">
        <x:v>6</x:v>
      </x:c>
      <x:c r="C3" s="12" t="s">
        <x:v>124</x:v>
      </x:c>
      <x:c r="D3" s="12" t="s">
        <x:v>125</x:v>
      </x:c>
      <x:c r="E3" s="12" t="s">
        <x:v>126</x:v>
      </x:c>
      <x:c r="F3" s="12" t="s">
        <x:v>127</x:v>
      </x:c>
      <x:c r="G3" s="12" t="s">
        <x:v>128</x:v>
      </x:c>
    </x:row>
    <x:row r="4" ht="54.75" customHeight="1">
      <x:c r="A4" s="12" t="s">
        <x:v>129</x:v>
      </x:c>
      <x:c r="B4" s="12" t="s">
        <x:v>130</x:v>
      </x:c>
      <x:c r="C4" s="12" t="s">
        <x:v>131</x:v>
      </x:c>
      <x:c r="D4" s="12" t="s">
        <x:v>132</x:v>
      </x:c>
      <x:c r="E4" s="12" t="s">
        <x:v>132</x:v>
      </x:c>
      <x:c r="F4" s="12" t="s">
        <x:v>121</x:v>
      </x:c>
      <x:c r="G4" s="12"/>
    </x:row>
    <x:row r="5" ht="54.75" customHeight="1">
      <x:c r="A5" s="12" t="s">
        <x:v>133</x:v>
      </x:c>
      <x:c r="B5" s="12" t="s">
        <x:v>130</x:v>
      </x:c>
      <x:c r="C5" s="12" t="s">
        <x:v>134</x:v>
      </x:c>
      <x:c r="D5" s="12" t="s">
        <x:v>135</x:v>
      </x:c>
      <x:c r="E5" s="12" t="s">
        <x:v>135</x:v>
      </x:c>
      <x:c r="F5" s="12" t="s">
        <x:v>121</x:v>
      </x:c>
      <x:c r="G5" s="12"/>
    </x:row>
    <x:row r="6" ht="54.75" customHeight="1">
      <x:c r="A6" s="12" t="s">
        <x:v>136</x:v>
      </x:c>
      <x:c r="B6" s="12" t="s">
        <x:v>130</x:v>
      </x:c>
      <x:c r="C6" s="12" t="s">
        <x:v>137</x:v>
      </x:c>
      <x:c r="D6" s="12" t="s">
        <x:v>138</x:v>
      </x:c>
      <x:c r="E6" s="12" t="s">
        <x:v>138</x:v>
      </x:c>
      <x:c r="F6" s="12" t="s">
        <x:v>121</x:v>
      </x:c>
      <x:c r="G6" s="12"/>
    </x:row>
    <x:row r="7" ht="54.75" customHeight="1">
      <x:c r="A7" s="12" t="s">
        <x:v>139</x:v>
      </x:c>
      <x:c r="B7" s="12" t="s">
        <x:v>130</x:v>
      </x:c>
      <x:c r="C7" s="12" t="s">
        <x:v>140</x:v>
      </x:c>
      <x:c r="D7" s="12" t="s">
        <x:v>141</x:v>
      </x:c>
      <x:c r="E7" s="12" t="s">
        <x:v>141</x:v>
      </x:c>
      <x:c r="F7" s="12" t="s">
        <x:v>121</x:v>
      </x:c>
      <x:c r="G7" s="12"/>
    </x:row>
    <x:row r="8" ht="54.75" customHeight="1">
      <x:c r="A8" s="12" t="s">
        <x:v>142</x:v>
      </x:c>
      <x:c r="B8" s="12" t="s">
        <x:v>130</x:v>
      </x:c>
      <x:c r="C8" s="12" t="s">
        <x:v>143</x:v>
      </x:c>
      <x:c r="D8" s="12" t="s">
        <x:v>144</x:v>
      </x:c>
      <x:c r="E8" s="12" t="s">
        <x:v>144</x:v>
      </x:c>
      <x:c r="F8" s="12" t="s">
        <x:v>121</x:v>
      </x:c>
      <x:c r="G8" s="12"/>
    </x:row>
    <x:row r="9" ht="54.75" customHeight="1">
      <x:c r="A9" s="12" t="s">
        <x:v>145</x:v>
      </x:c>
      <x:c r="B9" s="12" t="s">
        <x:v>130</x:v>
      </x:c>
      <x:c r="C9" s="12" t="s">
        <x:v>146</x:v>
      </x:c>
      <x:c r="D9" s="12" t="s">
        <x:v>147</x:v>
      </x:c>
      <x:c r="E9" s="12" t="s">
        <x:v>147</x:v>
      </x:c>
      <x:c r="F9" s="12" t="s">
        <x:v>121</x:v>
      </x:c>
      <x:c r="G9" s="12"/>
    </x:row>
    <x:row r="10" ht="54.75" customHeight="1">
      <x:c r="A10" s="12" t="s">
        <x:v>148</x:v>
      </x:c>
      <x:c r="B10" s="12" t="s">
        <x:v>130</x:v>
      </x:c>
      <x:c r="C10" s="12" t="s">
        <x:v>149</x:v>
      </x:c>
      <x:c r="D10" s="12" t="s">
        <x:v>150</x:v>
      </x:c>
      <x:c r="E10" s="12" t="s">
        <x:v>150</x:v>
      </x:c>
      <x:c r="F10" s="12" t="s">
        <x:v>121</x:v>
      </x:c>
      <x:c r="G10" s="12"/>
    </x:row>
    <x:row r="11" ht="54.75" customHeight="1">
      <x:c r="A11" s="12" t="s">
        <x:v>151</x:v>
      </x:c>
      <x:c r="B11" s="12" t="s">
        <x:v>33</x:v>
      </x:c>
      <x:c r="C11" s="12" t="s">
        <x:v>152</x:v>
      </x:c>
      <x:c r="D11" s="12" t="s">
        <x:v>153</x:v>
      </x:c>
      <x:c r="E11" s="12" t="s">
        <x:v>154</x:v>
      </x:c>
      <x:c r="F11" s="12" t="s">
        <x:v>155</x:v>
      </x:c>
      <x:c r="G11" s="12" t="s">
        <x:v>156</x:v>
      </x:c>
    </x:row>
    <x:row r="12" ht="54.75" customHeight="1">
      <x:c r="A12" s="12" t="s">
        <x:v>157</x:v>
      </x:c>
      <x:c r="B12" s="12" t="s">
        <x:v>33</x:v>
      </x:c>
      <x:c r="C12" s="12" t="s">
        <x:v>158</x:v>
      </x:c>
      <x:c r="D12" s="12" t="s">
        <x:v>159</x:v>
      </x:c>
      <x:c r="E12" s="12" t="s">
        <x:v>160</x:v>
      </x:c>
      <x:c r="F12" s="12" t="s">
        <x:v>155</x:v>
      </x:c>
      <x:c r="G12" s="12" t="s">
        <x:v>161</x:v>
      </x:c>
    </x:row>
    <x:row r="13" ht="54.75" customHeight="1">
      <x:c r="A13" s="12" t="s">
        <x:v>162</x:v>
      </x:c>
      <x:c r="B13" s="12" t="s">
        <x:v>33</x:v>
      </x:c>
      <x:c r="C13" s="12" t="s">
        <x:v>163</x:v>
      </x:c>
      <x:c r="D13" s="12" t="s">
        <x:v>164</x:v>
      </x:c>
      <x:c r="E13" s="12" t="s">
        <x:v>165</x:v>
      </x:c>
      <x:c r="F13" s="12" t="s">
        <x:v>155</x:v>
      </x:c>
      <x:c r="G13" s="12" t="s">
        <x:v>166</x:v>
      </x:c>
    </x:row>
    <x:row r="14" ht="54.75" customHeight="1">
      <x:c r="A14" s="12" t="s">
        <x:v>167</x:v>
      </x:c>
      <x:c r="B14" s="12" t="s">
        <x:v>168</x:v>
      </x:c>
      <x:c r="C14" s="12" t="s">
        <x:v>169</x:v>
      </x:c>
      <x:c r="D14" s="12" t="s">
        <x:v>170</x:v>
      </x:c>
      <x:c r="E14" s="12" t="s">
        <x:v>171</x:v>
      </x:c>
      <x:c r="F14" s="12" t="s">
        <x:v>155</x:v>
      </x:c>
      <x:c r="G14" s="12" t="s">
        <x:v>172</x:v>
      </x:c>
    </x:row>
    <x:row r="15" ht="54.75" customHeight="1">
      <x:c r="A15" s="12" t="s">
        <x:v>173</x:v>
      </x:c>
      <x:c r="B15" s="12" t="s">
        <x:v>168</x:v>
      </x:c>
      <x:c r="C15" s="12" t="s">
        <x:v>174</x:v>
      </x:c>
      <x:c r="D15" s="12" t="s">
        <x:v>175</x:v>
      </x:c>
      <x:c r="E15" s="12" t="s">
        <x:v>176</x:v>
      </x:c>
      <x:c r="F15" s="12" t="s">
        <x:v>155</x:v>
      </x:c>
      <x:c r="G15" s="12" t="s">
        <x:v>177</x:v>
      </x:c>
    </x:row>
    <x:row r="16" ht="54.75" customHeight="1">
      <x:c r="A16" s="12" t="s">
        <x:v>178</x:v>
      </x:c>
      <x:c r="B16" s="12" t="s">
        <x:v>168</x:v>
      </x:c>
      <x:c r="C16" s="12" t="s">
        <x:v>179</x:v>
      </x:c>
      <x:c r="D16" s="12" t="s">
        <x:v>180</x:v>
      </x:c>
      <x:c r="E16" s="12" t="s">
        <x:v>181</x:v>
      </x:c>
      <x:c r="F16" s="12" t="s">
        <x:v>155</x:v>
      </x:c>
      <x:c r="G16" s="12" t="s">
        <x:v>182</x:v>
      </x:c>
    </x:row>
    <x:row r="17" ht="54.75" customHeight="1">
      <x:c r="A17" s="12" t="s">
        <x:v>183</x:v>
      </x:c>
      <x:c r="B17" s="12" t="s">
        <x:v>184</x:v>
      </x:c>
      <x:c r="C17" s="12" t="s">
        <x:v>185</x:v>
      </x:c>
      <x:c r="D17" s="12" t="s">
        <x:v>186</x:v>
      </x:c>
      <x:c r="E17" s="12" t="s">
        <x:v>187</x:v>
      </x:c>
      <x:c r="F17" s="12" t="s">
        <x:v>155</x:v>
      </x:c>
      <x:c r="G17" s="12" t="s">
        <x:v>188</x:v>
      </x:c>
    </x:row>
    <x:row r="18" ht="54.75" customHeight="1">
      <x:c r="A18" s="12" t="s">
        <x:v>189</x:v>
      </x:c>
      <x:c r="B18" s="12" t="s">
        <x:v>190</x:v>
      </x:c>
      <x:c r="C18" s="12" t="s">
        <x:v>191</x:v>
      </x:c>
      <x:c r="D18" s="12" t="s">
        <x:v>192</x:v>
      </x:c>
      <x:c r="E18" s="12" t="s">
        <x:v>193</x:v>
      </x:c>
      <x:c r="F18" s="12" t="str">
        <x:v>Need retest</x:v>
      </x:c>
      <x:c r="G18" s="12" t="str">
        <x:v>Observed once; additional reproduction and logs are required. См. BUG-GAME-001.</x:v>
      </x:c>
    </x:row>
    <x:row r="19" ht="54.75" customHeight="1">
      <x:c r="A19" s="12" t="s">
        <x:v>194</x:v>
      </x:c>
      <x:c r="B19" s="12" t="s">
        <x:v>195</x:v>
      </x:c>
      <x:c r="C19" s="12" t="s">
        <x:v>196</x:v>
      </x:c>
      <x:c r="D19" s="12" t="s">
        <x:v>197</x:v>
      </x:c>
      <x:c r="E19" s="12" t="s">
        <x:v>198</x:v>
      </x:c>
      <x:c r="F19" s="12" t="s">
        <x:v>155</x:v>
      </x:c>
      <x:c r="G19" s="12" t="s">
        <x:v>199</x:v>
      </x:c>
    </x:row>
    <x:row r="20" ht="54.75" customHeight="1">
      <x:c r="A20" s="12" t="s">
        <x:v>200</x:v>
      </x:c>
      <x:c r="B20" s="12" t="s">
        <x:v>201</x:v>
      </x:c>
      <x:c r="C20" s="12" t="s">
        <x:v>202</x:v>
      </x:c>
      <x:c r="D20" s="12" t="s">
        <x:v>203</x:v>
      </x:c>
      <x:c r="E20" s="12" t="s">
        <x:v>204</x:v>
      </x:c>
      <x:c r="F20" s="12" t="s">
        <x:v>155</x:v>
      </x:c>
      <x:c r="G20" s="12" t="s">
        <x:v>205</x:v>
      </x:c>
    </x:row>
    <x:row r="21" ht="15.75" customHeight="1">
      <x:c r="A21" s="20"/>
      <x:c r="B21" s="20"/>
      <x:c r="C21" s="20"/>
      <x:c r="D21" s="20"/>
      <x:c r="E21" s="20"/>
      <x:c r="F21" s="20"/>
      <x:c r="G21" s="20"/>
    </x:row>
    <x:row r="22" ht="15.75" customHeight="1">
      <x:c r="A22" s="20"/>
      <x:c r="B22" s="20"/>
      <x:c r="C22" s="20"/>
      <x:c r="D22" s="20"/>
      <x:c r="E22" s="20"/>
      <x:c r="F22" s="20"/>
      <x:c r="G22" s="20"/>
    </x:row>
    <x:row r="23" ht="15.75" customHeight="1">
      <x:c r="A23" s="20"/>
      <x:c r="B23" s="20"/>
      <x:c r="C23" s="20"/>
      <x:c r="D23" s="20"/>
      <x:c r="E23" s="20"/>
      <x:c r="F23" s="20"/>
      <x:c r="G23" s="20"/>
    </x:row>
    <x:row r="24" ht="15.75" customHeight="1">
      <x:c r="A24" s="20"/>
      <x:c r="B24" s="20"/>
      <x:c r="C24" s="20"/>
      <x:c r="D24" s="20"/>
      <x:c r="E24" s="20"/>
      <x:c r="F24" s="20"/>
      <x:c r="G24" s="20"/>
    </x:row>
    <x:row r="25" ht="15.75" customHeight="1">
      <x:c r="A25" s="20"/>
      <x:c r="B25" s="20"/>
      <x:c r="C25" s="20"/>
      <x:c r="D25" s="20"/>
      <x:c r="E25" s="20"/>
      <x:c r="F25" s="20"/>
      <x:c r="G25" s="20"/>
    </x:row>
    <x:row r="26" ht="15.75" customHeight="1">
      <x:c r="F26" s="21"/>
    </x:row>
    <x:row r="27" ht="15.75" customHeight="1">
      <x:c r="F27" s="21"/>
    </x:row>
    <x:row r="28" ht="15.75" customHeight="1">
      <x:c r="F28" s="21"/>
    </x:row>
    <x:row r="29" ht="15.75" customHeight="1">
      <x:c r="F29" s="21"/>
    </x:row>
    <x:row r="30" ht="15.75" customHeight="1">
      <x:c r="F30" s="21"/>
    </x:row>
    <x:row r="31" ht="15.75" customHeight="1">
      <x:c r="F31" s="21"/>
    </x:row>
    <x:row r="32" ht="15.75" customHeight="1">
      <x:c r="F32" s="21"/>
    </x:row>
    <x:row r="33" ht="15.75" customHeight="1">
      <x:c r="F33" s="21"/>
    </x:row>
    <x:row r="34" ht="15.75" customHeight="1">
      <x:c r="F34" s="21"/>
    </x:row>
    <x:row r="35" ht="15.75" customHeight="1">
      <x:c r="F35" s="21"/>
    </x:row>
    <x:row r="36" ht="15.75" customHeight="1">
      <x:c r="F36" s="21"/>
    </x:row>
    <x:row r="37" ht="15.75" customHeight="1">
      <x:c r="F37" s="21"/>
    </x:row>
    <x:row r="38" ht="15.75" customHeight="1">
      <x:c r="F38" s="21"/>
    </x:row>
    <x:row r="39" ht="15.75" customHeight="1">
      <x:c r="F39" s="21"/>
    </x:row>
    <x:row r="40" ht="15.75" customHeight="1">
      <x:c r="F40" s="21"/>
    </x:row>
    <x:row r="41" ht="15.75" customHeight="1">
      <x:c r="F41" s="21"/>
    </x:row>
    <x:row r="42" ht="15.75" customHeight="1">
      <x:c r="F42" s="21"/>
    </x:row>
    <x:row r="43" ht="15.75" customHeight="1">
      <x:c r="F43" s="21"/>
    </x:row>
    <x:row r="44" ht="15.75" customHeight="1">
      <x:c r="F44" s="21"/>
    </x:row>
    <x:row r="45" ht="15.75" customHeight="1">
      <x:c r="F45" s="21"/>
    </x:row>
    <x:row r="46" ht="15.75" customHeight="1">
      <x:c r="F46" s="21"/>
    </x:row>
    <x:row r="47" ht="15.75" customHeight="1">
      <x:c r="F47" s="21"/>
    </x:row>
    <x:row r="48" ht="15.75" customHeight="1">
      <x:c r="F48" s="21"/>
    </x:row>
    <x:row r="49" ht="15.75" customHeight="1">
      <x:c r="F49" s="21"/>
    </x:row>
    <x:row r="50" ht="15.75" customHeight="1">
      <x:c r="F50" s="21"/>
    </x:row>
    <x:row r="51" ht="15.75" customHeight="1">
      <x:c r="F51" s="21"/>
    </x:row>
    <x:row r="52" ht="15.75" customHeight="1">
      <x:c r="F52" s="21"/>
    </x:row>
    <x:row r="53" ht="15.75" customHeight="1">
      <x:c r="F53" s="21"/>
    </x:row>
    <x:row r="54" ht="15.75" customHeight="1">
      <x:c r="F54" s="21"/>
    </x:row>
    <x:row r="55" ht="15.75" customHeight="1">
      <x:c r="F55" s="21"/>
    </x:row>
    <x:row r="56" ht="15.75" customHeight="1">
      <x:c r="F56" s="21"/>
    </x:row>
    <x:row r="57" ht="15.75" customHeight="1">
      <x:c r="F57" s="21"/>
    </x:row>
    <x:row r="58" ht="15.75" customHeight="1">
      <x:c r="F58" s="21"/>
    </x:row>
    <x:row r="59" ht="15.75" customHeight="1">
      <x:c r="F59" s="21"/>
    </x:row>
    <x:row r="60" ht="15.75" customHeight="1">
      <x:c r="F60" s="21"/>
    </x:row>
    <x:row r="61" ht="15.75" customHeight="1">
      <x:c r="F61" s="21"/>
    </x:row>
    <x:row r="62" ht="15.75" customHeight="1">
      <x:c r="F62" s="21"/>
    </x:row>
    <x:row r="63" ht="15.75" customHeight="1">
      <x:c r="F63" s="21"/>
    </x:row>
    <x:row r="64" ht="15.75" customHeight="1">
      <x:c r="F64" s="21"/>
    </x:row>
    <x:row r="65" ht="15.75" customHeight="1">
      <x:c r="F65" s="21"/>
    </x:row>
    <x:row r="66" ht="15.75" customHeight="1">
      <x:c r="F66" s="21"/>
    </x:row>
    <x:row r="67" ht="15.75" customHeight="1">
      <x:c r="F67" s="21"/>
    </x:row>
    <x:row r="68" ht="15.75" customHeight="1">
      <x:c r="F68" s="21"/>
    </x:row>
    <x:row r="69" ht="15.75" customHeight="1">
      <x:c r="F69" s="21"/>
    </x:row>
    <x:row r="70" ht="15.75" customHeight="1">
      <x:c r="F70" s="21"/>
    </x:row>
    <x:row r="71" ht="15.75" customHeight="1">
      <x:c r="F71" s="21"/>
    </x:row>
    <x:row r="72" ht="15.75" customHeight="1">
      <x:c r="F72" s="21"/>
    </x:row>
    <x:row r="73" ht="15.75" customHeight="1">
      <x:c r="F73" s="21"/>
    </x:row>
    <x:row r="74" ht="15.75" customHeight="1">
      <x:c r="F74" s="21"/>
    </x:row>
    <x:row r="75" ht="15.75" customHeight="1">
      <x:c r="F75" s="21"/>
    </x:row>
    <x:row r="76" ht="15.75" customHeight="1">
      <x:c r="F76" s="21"/>
    </x:row>
    <x:row r="77" ht="15.75" customHeight="1">
      <x:c r="F77" s="21"/>
    </x:row>
    <x:row r="78" ht="15.75" customHeight="1">
      <x:c r="F78" s="21"/>
    </x:row>
    <x:row r="79" ht="15.75" customHeight="1">
      <x:c r="F79" s="21"/>
    </x:row>
    <x:row r="80" ht="15.75" customHeight="1">
      <x:c r="F80" s="21"/>
    </x:row>
    <x:row r="81" ht="15.75" customHeight="1">
      <x:c r="F81" s="21"/>
    </x:row>
    <x:row r="82" ht="15.75" customHeight="1">
      <x:c r="F82" s="21"/>
    </x:row>
    <x:row r="83" ht="15.75" customHeight="1">
      <x:c r="F83" s="21"/>
    </x:row>
    <x:row r="84" ht="15.75" customHeight="1">
      <x:c r="F84" s="21"/>
    </x:row>
    <x:row r="85" ht="15.75" customHeight="1">
      <x:c r="F85" s="21"/>
    </x:row>
    <x:row r="86" ht="15.75" customHeight="1">
      <x:c r="F86" s="21"/>
    </x:row>
    <x:row r="87" ht="15.75" customHeight="1">
      <x:c r="F87" s="21"/>
    </x:row>
    <x:row r="88" ht="15.75" customHeight="1">
      <x:c r="F88" s="21"/>
    </x:row>
    <x:row r="89" ht="15.75" customHeight="1">
      <x:c r="F89" s="21"/>
    </x:row>
    <x:row r="90" ht="15.75" customHeight="1">
      <x:c r="F90" s="21"/>
    </x:row>
    <x:row r="91" ht="15.75" customHeight="1">
      <x:c r="F91" s="21"/>
    </x:row>
    <x:row r="92" ht="15.75" customHeight="1">
      <x:c r="F92" s="21"/>
    </x:row>
    <x:row r="93" ht="15.75" customHeight="1">
      <x:c r="F93" s="21"/>
    </x:row>
    <x:row r="94" ht="15.75" customHeight="1">
      <x:c r="F94" s="21"/>
    </x:row>
    <x:row r="95" ht="15.75" customHeight="1">
      <x:c r="F95" s="21"/>
    </x:row>
    <x:row r="96" ht="15.75" customHeight="1">
      <x:c r="F96" s="21"/>
    </x:row>
    <x:row r="97" ht="15.75" customHeight="1">
      <x:c r="F97" s="21"/>
    </x:row>
    <x:row r="98" ht="15.75" customHeight="1">
      <x:c r="F98" s="21"/>
    </x:row>
    <x:row r="99" ht="15.75" customHeight="1">
      <x:c r="F99" s="21"/>
    </x:row>
    <x:row r="100" ht="15.75" customHeight="1">
      <x:c r="F100" s="21"/>
    </x:row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conditionalFormatting sqref="F2:F1000">
    <x:cfRule type="expression" dxfId="14" priority="1">
      <x:formula>F2="Passed"</x:formula>
    </x:cfRule>
  </x:conditionalFormatting>
  <x:conditionalFormatting sqref="F2:F1000">
    <x:cfRule type="expression" dxfId="13" priority="2">
      <x:formula>F2="Failed"</x:formula>
    </x:cfRule>
  </x:conditionalFormatting>
  <x:conditionalFormatting sqref="F2:F1000">
    <x:cfRule type="expression" dxfId="16" priority="3">
      <x:formula>F2="Passed with note"</x:formula>
    </x:cfRule>
  </x:conditionalFormatting>
  <x:conditionalFormatting sqref="F2:F1000">
    <x:cfRule type="expression" dxfId="15" priority="4">
      <x:formula>F2="Need retest"</x:formula>
    </x:cfRule>
  </x:conditionalFormatting>
  <x:dataValidations count="1">
    <x:dataValidation type="list" allowBlank="1" sqref="F2:F100">
      <x:formula1>"Passed,Failed,Passed with note,Blocked,Need retest,Not tested"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13b857dd494b51"/>
  </x:tableParts>
</x:worksheet>
</file>

<file path=xl/worksheets/sheet4.xml><?xml version="1.0" encoding="utf-8"?>
<x:worksheet xmlns:x="http://schemas.openxmlformats.org/spreadsheetml/2006/main">
  <x:sheetFormatPr defaultColWidth="12.630000114440918" defaultRowHeight="15"/>
  <x:cols>
    <x:col min="1" max="1" width="12" customWidth="1"/>
    <x:col min="2" max="3" width="28" customWidth="1"/>
    <x:col min="4" max="4" width="18" customWidth="1"/>
    <x:col min="5" max="5" width="50" customWidth="1"/>
    <x:col min="6" max="6" width="40" customWidth="1"/>
    <x:col min="7" max="26" width="8.630000114440918" customWidth="1"/>
  </x:cols>
  <x:sheetData>
    <x:row r="1" ht="27.75" customHeight="1">
      <x:c r="A1" s="10" t="s">
        <x:v>21</x:v>
      </x:c>
      <x:c r="B1" s="10" t="s">
        <x:v>206</x:v>
      </x:c>
      <x:c r="C1" s="10" t="s">
        <x:v>207</x:v>
      </x:c>
      <x:c r="D1" s="10" t="s">
        <x:v>208</x:v>
      </x:c>
      <x:c r="E1" s="10" t="s">
        <x:v>209</x:v>
      </x:c>
      <x:c r="F1" s="10" t="s">
        <x:v>115</x:v>
      </x:c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54.75" customHeight="1">
      <x:c r="A2" s="12" t="s">
        <x:v>210</x:v>
      </x:c>
      <x:c r="B2" s="12" t="s">
        <x:v>211</x:v>
      </x:c>
      <x:c r="C2" s="12" t="s">
        <x:v>212</x:v>
      </x:c>
      <x:c r="D2" s="12" t="s">
        <x:v>213</x:v>
      </x:c>
      <x:c r="E2" s="12" t="s">
        <x:v>214</x:v>
      </x:c>
      <x:c r="F2" s="12" t="s">
        <x:v>215</x:v>
      </x:c>
    </x:row>
    <x:row r="3" ht="54.75" customHeight="1">
      <x:c r="A3" s="12" t="s">
        <x:v>216</x:v>
      </x:c>
      <x:c r="B3" s="12" t="s">
        <x:v>217</x:v>
      </x:c>
      <x:c r="C3" s="12" t="s">
        <x:v>212</x:v>
      </x:c>
      <x:c r="D3" s="12" t="s">
        <x:v>213</x:v>
      </x:c>
      <x:c r="E3" s="12" t="s">
        <x:v>218</x:v>
      </x:c>
      <x:c r="F3" s="12" t="s">
        <x:v>219</x:v>
      </x:c>
    </x:row>
    <x:row r="4" ht="54.75" customHeight="1">
      <x:c r="A4" s="12" t="s">
        <x:v>220</x:v>
      </x:c>
      <x:c r="B4" s="12" t="s">
        <x:v>221</x:v>
      </x:c>
      <x:c r="C4" s="12" t="s">
        <x:v>51</x:v>
      </x:c>
      <x:c r="D4" s="12" t="s">
        <x:v>213</x:v>
      </x:c>
      <x:c r="E4" s="12" t="s">
        <x:v>222</x:v>
      </x:c>
      <x:c r="F4" s="12" t="s">
        <x:v>223</x:v>
      </x:c>
    </x:row>
    <x:row r="5" ht="54.75" customHeight="1">
      <x:c r="A5" s="12" t="s">
        <x:v>224</x:v>
      </x:c>
      <x:c r="B5" s="12" t="s">
        <x:v>225</x:v>
      </x:c>
      <x:c r="C5" s="12" t="s">
        <x:v>226</x:v>
      </x:c>
      <x:c r="D5" s="12" t="s">
        <x:v>227</x:v>
      </x:c>
      <x:c r="E5" s="12" t="s">
        <x:v>228</x:v>
      </x:c>
      <x:c r="F5" s="12" t="s">
        <x:v>229</x:v>
      </x:c>
    </x:row>
    <x:row r="6" ht="54.75" customHeight="1">
      <x:c r="A6" s="12" t="s">
        <x:v>230</x:v>
      </x:c>
      <x:c r="B6" s="12" t="s">
        <x:v>231</x:v>
      </x:c>
      <x:c r="C6" s="12" t="s">
        <x:v>232</x:v>
      </x:c>
      <x:c r="D6" s="12" t="s">
        <x:v>233</x:v>
      </x:c>
      <x:c r="E6" s="12" t="s">
        <x:v>234</x:v>
      </x:c>
      <x:c r="F6" s="12" t="s">
        <x:v>235</x:v>
      </x:c>
    </x:row>
    <x:row r="7">
      <x:c r="A7" s="20"/>
      <x:c r="B7" s="20"/>
      <x:c r="C7" s="20"/>
      <x:c r="D7" s="20"/>
      <x:c r="E7" s="20"/>
      <x:c r="F7" s="20"/>
    </x:row>
    <x:row r="8">
      <x:c r="A8" s="20"/>
      <x:c r="B8" s="20"/>
      <x:c r="C8" s="20"/>
      <x:c r="D8" s="20"/>
      <x:c r="E8" s="20"/>
      <x:c r="F8" s="20"/>
    </x:row>
    <x:row r="9">
      <x:c r="A9" s="20"/>
      <x:c r="B9" s="20"/>
      <x:c r="C9" s="20"/>
      <x:c r="D9" s="20"/>
      <x:c r="E9" s="20"/>
      <x:c r="F9" s="20"/>
    </x:row>
    <x:row r="10">
      <x:c r="A10" s="20"/>
      <x:c r="B10" s="20"/>
      <x:c r="C10" s="20"/>
      <x:c r="D10" s="20"/>
      <x:c r="E10" s="20"/>
      <x:c r="F10" s="20"/>
    </x:row>
    <x:row r="11">
      <x:c r="A11" s="20"/>
      <x:c r="B11" s="20"/>
      <x:c r="C11" s="20"/>
      <x:c r="D11" s="20"/>
      <x:c r="E11" s="20"/>
      <x:c r="F11" s="20"/>
    </x:row>
    <x:row r="12">
      <x:c r="A12" s="20"/>
      <x:c r="B12" s="20"/>
      <x:c r="C12" s="20"/>
      <x:c r="D12" s="20"/>
      <x:c r="E12" s="20"/>
      <x:c r="F12" s="20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3c47a9adac1c4ef3"/>
  </x:tableParts>
</x:worksheet>
</file>

<file path=xl/worksheets/sheet5.xml><?xml version="1.0" encoding="utf-8"?>
<x:worksheet xmlns:x="http://schemas.openxmlformats.org/spreadsheetml/2006/main">
  <x:sheetFormatPr defaultColWidth="12.630000114440918" defaultRowHeight="15"/>
  <x:cols>
    <x:col min="1" max="1" width="26" customWidth="1"/>
    <x:col min="2" max="2" width="70" customWidth="1"/>
    <x:col min="3" max="26" width="8.630000114440918" customWidth="1"/>
  </x:cols>
  <x:sheetData>
    <x:row r="1" ht="27.75" customHeight="1">
      <x:c r="A1" s="22" t="s">
        <x:v>236</x:v>
      </x:c>
      <x:c r="B1" s="22" t="s">
        <x:v>237</x:v>
      </x:c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3.75" customHeight="1">
      <x:c r="A2" s="23" t="s">
        <x:v>238</x:v>
      </x:c>
      <x:c r="B2" s="24" t="s">
        <x:v>4</x:v>
      </x:c>
    </x:row>
    <x:row r="3" ht="33.75" customHeight="1">
      <x:c r="A3" s="23" t="s">
        <x:v>239</x:v>
      </x:c>
      <x:c r="B3" s="24" t="s">
        <x:v>10</x:v>
      </x:c>
    </x:row>
    <x:row r="4" ht="33.75" customHeight="1">
      <x:c r="A4" s="23" t="s">
        <x:v>240</x:v>
      </x:c>
      <x:c r="B4" s="24" t="s">
        <x:v>241</x:v>
      </x:c>
    </x:row>
    <x:row r="5" ht="33.75" customHeight="1">
      <x:c r="A5" s="23" t="s">
        <x:v>6</x:v>
      </x:c>
      <x:c r="B5" s="24" t="s">
        <x:v>7</x:v>
      </x:c>
    </x:row>
    <x:row r="6" ht="33.75" customHeight="1">
      <x:c r="A6" s="23" t="s">
        <x:v>242</x:v>
      </x:c>
      <x:c r="B6" s="24" t="s">
        <x:v>243</x:v>
      </x:c>
    </x:row>
    <x:row r="7" ht="33.75" customHeight="1">
      <x:c r="A7" s="23" t="s">
        <x:v>244</x:v>
      </x:c>
      <x:c r="B7" s="24" t="s">
        <x:v>245</x:v>
      </x:c>
    </x:row>
    <x:row r="8" ht="33.75" customHeight="1">
      <x:c r="A8" s="23" t="s">
        <x:v>246</x:v>
      </x:c>
      <x:c r="B8" s="24" t="s">
        <x:v>247</x:v>
      </x:c>
    </x:row>
    <x:row r="9" ht="33.75" customHeight="1">
      <x:c r="A9" s="23" t="s">
        <x:v>248</x:v>
      </x:c>
      <x:c r="B9" s="24" t="s">
        <x:v>249</x:v>
      </x:c>
    </x:row>
    <x:row r="10" ht="33.75" customHeight="1">
      <x:c r="A10" s="23" t="s">
        <x:v>250</x:v>
      </x:c>
      <x:c r="B10" s="24" t="s">
        <x:v>251</x:v>
      </x:c>
    </x:row>
    <x:row r="11" ht="33.75" customHeight="1">
      <x:c r="A11" s="23" t="s">
        <x:v>252</x:v>
      </x:c>
      <x:c r="B11" s="24" t="s">
        <x:v>253</x:v>
      </x:c>
    </x:row>
    <x:row r="12" ht="33.75" customHeight="1">
      <x:c r="A12" s="23" t="s">
        <x:v>254</x:v>
      </x:c>
      <x:c r="B12" s="24" t="s">
        <x:v>255</x:v>
      </x:c>
    </x:row>
    <x:row r="13" ht="33.75" customHeight="1">
      <x:c r="A13" s="23" t="s">
        <x:v>256</x:v>
      </x:c>
      <x:c r="B13" s="24" t="s">
        <x:v>257</x:v>
      </x:c>
    </x:row>
    <x:row r="14" ht="33.75" customHeight="1">
      <x:c r="A14" s="23" t="s">
        <x:v>258</x:v>
      </x:c>
      <x:c r="B14" s="24" t="s">
        <x:v>259</x:v>
      </x:c>
    </x:row>
    <x:row r="15" ht="33.75" customHeight="1">
      <x:c r="A15" s="23" t="s">
        <x:v>260</x:v>
      </x:c>
      <x:c r="B15" s="24" t="s">
        <x:v>261</x:v>
      </x:c>
    </x:row>
    <x:row r="16" ht="33.75" customHeight="1">
      <x:c r="A16" s="23" t="s">
        <x:v>262</x:v>
      </x:c>
      <x:c r="B16" s="24" t="s">
        <x:v>263</x:v>
      </x:c>
    </x:row>
    <x:row r="17">
      <x:c r="A17" s="25"/>
      <x:c r="B17" s="4"/>
    </x:row>
    <x:row r="18">
      <x:c r="A18" s="25"/>
      <x:c r="B18" s="4"/>
    </x:row>
    <x:row r="19">
      <x:c r="A19" s="25"/>
      <x:c r="B19" s="4"/>
    </x:row>
    <x:row r="20">
      <x:c r="A20" s="25"/>
      <x:c r="B20" s="4"/>
    </x:row>
    <x:row r="21" ht="15.75" customHeight="1">
      <x:c r="A21" s="25"/>
      <x:c r="B21" s="4"/>
    </x:row>
    <x:row r="22" ht="15.75" customHeight="1">
      <x:c r="A22" s="25"/>
      <x:c r="B22" s="4"/>
    </x:row>
    <x:row r="23" ht="15.75" customHeight="1">
      <x:c r="A23" s="25"/>
      <x:c r="B23" s="4"/>
    </x:row>
    <x:row r="24" ht="15.75" customHeight="1">
      <x:c r="A24" s="25"/>
      <x:c r="B24" s="4"/>
    </x:row>
    <x:row r="25" ht="15.75" customHeight="1">
      <x:c r="A25" s="25"/>
      <x:c r="B25" s="4"/>
    </x:row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685a12768c6942ae"/>
  </x:tableParts>
</x:worksheet>
</file>

<file path=xl/worksheets/sheet6.xml><?xml version="1.0" encoding="utf-8"?>
<x:worksheet xmlns:x="http://schemas.openxmlformats.org/spreadsheetml/2006/main">
  <x:sheetFormatPr defaultColWidth="12.630000114440918" defaultRowHeight="15"/>
  <x:cols>
    <x:col min="1" max="1" width="16" customWidth="1"/>
    <x:col min="2" max="2" width="80" customWidth="1"/>
    <x:col min="3" max="3" width="18" customWidth="1"/>
    <x:col min="4" max="26" width="8.630000114440918" customWidth="1"/>
  </x:cols>
  <x:sheetData>
    <x:row r="1" ht="27.75" customHeight="1">
      <x:c r="A1" s="22" t="s">
        <x:v>1</x:v>
      </x:c>
      <x:c r="B1" s="22" t="s">
        <x:v>264</x:v>
      </x:c>
      <x:c r="C1" s="22" t="s">
        <x:v>265</x:v>
      </x:c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24" t="s">
        <x:v>5</x:v>
      </x:c>
      <x:c r="B2" s="24" t="s">
        <x:v>266</x:v>
      </x:c>
      <x:c r="C2" s="24" t="s">
        <x:v>267</x:v>
      </x:c>
    </x:row>
    <x:row r="3">
      <x:c r="A3" s="24" t="s">
        <x:v>8</x:v>
      </x:c>
      <x:c r="B3" s="24" t="s">
        <x:v>268</x:v>
      </x:c>
      <x:c r="C3" s="24" t="s">
        <x:v>269</x:v>
      </x:c>
    </x:row>
    <x:row r="4">
      <x:c r="A4" s="24" t="s">
        <x:v>11</x:v>
      </x:c>
      <x:c r="B4" s="24" t="s">
        <x:v>270</x:v>
      </x:c>
      <x:c r="C4" s="24" t="s">
        <x:v>271</x:v>
      </x:c>
    </x:row>
    <x:row r="5">
      <x:c r="A5" s="24" t="s">
        <x:v>14</x:v>
      </x:c>
      <x:c r="B5" s="24" t="s">
        <x:v>272</x:v>
      </x:c>
      <x:c r="C5" s="24" t="s">
        <x:v>273</x:v>
      </x:c>
    </x:row>
    <x:row r="6">
      <x:c r="A6" s="24" t="s">
        <x:v>17</x:v>
      </x:c>
      <x:c r="B6" s="24" t="s">
        <x:v>274</x:v>
      </x:c>
      <x:c r="C6" s="24" t="s">
        <x:v>275</x:v>
      </x:c>
    </x:row>
    <x:row r="7">
      <x:c r="A7" s="24"/>
      <x:c r="B7" s="24"/>
      <x:c r="C7" s="24"/>
    </x:row>
    <x:row r="8">
      <x:c r="A8" s="24" t="s">
        <x:v>28</x:v>
      </x:c>
      <x:c r="B8" s="24" t="s">
        <x:v>276</x:v>
      </x:c>
      <x:c r="C8" s="24" t="s">
        <x:v>265</x:v>
      </x:c>
    </x:row>
    <x:row r="9">
      <x:c r="A9" s="24" t="s">
        <x:v>39</x:v>
      </x:c>
      <x:c r="B9" s="24" t="s">
        <x:v>277</x:v>
      </x:c>
      <x:c r="C9" s="24" t="s">
        <x:v>269</x:v>
      </x:c>
    </x:row>
    <x:row r="10">
      <x:c r="A10" s="24" t="s">
        <x:v>121</x:v>
      </x:c>
      <x:c r="B10" s="24" t="s">
        <x:v>278</x:v>
      </x:c>
      <x:c r="C10" s="24" t="s">
        <x:v>279</x:v>
      </x:c>
    </x:row>
    <x:row r="11">
      <x:c r="A11" s="24" t="s">
        <x:v>155</x:v>
      </x:c>
      <x:c r="B11" s="24" t="s">
        <x:v>280</x:v>
      </x:c>
      <x:c r="C11" s="24" t="s">
        <x:v>269</x:v>
      </x:c>
    </x:row>
    <x:row r="12">
      <x:c r="A12" s="24" t="s">
        <x:v>127</x:v>
      </x:c>
      <x:c r="B12" s="24" t="s">
        <x:v>281</x:v>
      </x:c>
      <x:c r="C12" s="24" t="s">
        <x:v>282</x:v>
      </x:c>
    </x:row>
    <x:row r="13">
      <x:c r="A13" s="24" t="s">
        <x:v>283</x:v>
      </x:c>
      <x:c r="B13" s="24" t="s">
        <x:v>284</x:v>
      </x:c>
      <x:c r="C13" s="24" t="s">
        <x:v>285</x:v>
      </x:c>
    </x:row>
    <x:row r="14">
      <x:c r="A14" s="4"/>
      <x:c r="B14" s="4"/>
      <x:c r="C14" s="4"/>
    </x:row>
    <x:row r="15">
      <x:c r="A15" s="4"/>
      <x:c r="B15" s="4"/>
      <x:c r="C15" s="4"/>
    </x:row>
    <x:row r="16">
      <x:c r="A16" s="4"/>
      <x:c r="B16" s="4"/>
      <x:c r="C16" s="4"/>
    </x:row>
    <x:row r="17">
      <x:c r="A17" s="4"/>
      <x:c r="B17" s="4"/>
      <x:c r="C17" s="4"/>
    </x:row>
    <x:row r="18">
      <x:c r="A18" s="4"/>
      <x:c r="B18" s="4"/>
      <x:c r="C18" s="4"/>
    </x:row>
    <x:row r="19">
      <x:c r="A19" s="4"/>
      <x:c r="B19" s="4"/>
      <x:c r="C19" s="4"/>
    </x:row>
    <x:row r="20">
      <x:c r="A20" s="4"/>
      <x:c r="B20" s="4"/>
      <x:c r="C20" s="4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conditionalFormatting sqref="A2:A6">
    <x:cfRule type="expression" dxfId="4" priority="1">
      <x:formula>A2="highest"</x:formula>
    </x:cfRule>
  </x:conditionalFormatting>
  <x:conditionalFormatting sqref="A2:A6">
    <x:cfRule type="expression" dxfId="5" priority="2">
      <x:formula>A2="high"</x:formula>
    </x:cfRule>
  </x:conditionalFormatting>
  <x:conditionalFormatting sqref="A2:A6">
    <x:cfRule type="expression" dxfId="6" priority="3">
      <x:formula>A2="medium"</x:formula>
    </x:cfRule>
  </x:conditionalFormatting>
  <x:conditionalFormatting sqref="A2:A6">
    <x:cfRule type="expression" dxfId="11" priority="4">
      <x:formula>A2="low"</x:formula>
    </x:cfRule>
  </x:conditionalFormatting>
  <x:conditionalFormatting sqref="A2:A6">
    <x:cfRule type="expression" dxfId="12" priority="5">
      <x:formula>A2="lowest"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deb18423f6d4b51"/>
  </x:tableParts>
</x:worksheet>
</file>